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mendez\OneDrive - Hospital Maria Especialidades Pediátricas\Escritorio\ROLES NEFROLOGIA 2026\"/>
    </mc:Choice>
  </mc:AlternateContent>
  <bookViews>
    <workbookView xWindow="0" yWindow="0" windowWidth="20490" windowHeight="7530" activeTab="1"/>
  </bookViews>
  <sheets>
    <sheet name="Licenciadas " sheetId="1" r:id="rId1"/>
    <sheet name="Auxiliares  " sheetId="2" r:id="rId2"/>
    <sheet name="HD" sheetId="3" r:id="rId3"/>
    <sheet name="Licenciadas  (2)" sheetId="4" r:id="rId4"/>
  </sheets>
  <definedNames>
    <definedName name="_xlnm.Print_Area" localSheetId="2">HD!$A$1:$AM$41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6" i="4" l="1"/>
  <c r="AG25" i="4"/>
  <c r="AG26" i="4" s="1"/>
  <c r="AF25" i="4"/>
  <c r="AF26" i="4" s="1"/>
  <c r="AE25" i="4"/>
  <c r="AE26" i="4" s="1"/>
  <c r="AD25" i="4"/>
  <c r="AD26" i="4" s="1"/>
  <c r="AC25" i="4"/>
  <c r="AB25" i="4"/>
  <c r="AB26" i="4" s="1"/>
  <c r="AA25" i="4"/>
  <c r="AA26" i="4" s="1"/>
  <c r="Z25" i="4"/>
  <c r="Z26" i="4" s="1"/>
  <c r="Y25" i="4"/>
  <c r="Y26" i="4" s="1"/>
  <c r="X25" i="4"/>
  <c r="X26" i="4" s="1"/>
  <c r="W25" i="4"/>
  <c r="W26" i="4" s="1"/>
  <c r="V25" i="4"/>
  <c r="V26" i="4" s="1"/>
  <c r="U25" i="4"/>
  <c r="U26" i="4" s="1"/>
  <c r="T25" i="4"/>
  <c r="T26" i="4" s="1"/>
  <c r="S25" i="4"/>
  <c r="S26" i="4" s="1"/>
  <c r="R25" i="4"/>
  <c r="R26" i="4" s="1"/>
  <c r="Q25" i="4"/>
  <c r="Q26" i="4" s="1"/>
  <c r="P25" i="4"/>
  <c r="P26" i="4" s="1"/>
  <c r="O25" i="4"/>
  <c r="O26" i="4" s="1"/>
  <c r="N25" i="4"/>
  <c r="N26" i="4" s="1"/>
  <c r="M25" i="4"/>
  <c r="M26" i="4" s="1"/>
  <c r="L25" i="4"/>
  <c r="L26" i="4" s="1"/>
  <c r="K25" i="4"/>
  <c r="K26" i="4" s="1"/>
  <c r="J25" i="4"/>
  <c r="J26" i="4" s="1"/>
  <c r="I25" i="4"/>
  <c r="I26" i="4" s="1"/>
  <c r="H25" i="4"/>
  <c r="H26" i="4" s="1"/>
  <c r="G25" i="4"/>
  <c r="G26" i="4" s="1"/>
  <c r="F25" i="4"/>
  <c r="F26" i="4" s="1"/>
  <c r="AH25" i="3" l="1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J21" i="3"/>
  <c r="AI21" i="3"/>
  <c r="AK21" i="3" s="1"/>
  <c r="AJ20" i="3"/>
  <c r="AI20" i="3"/>
  <c r="AK20" i="3" s="1"/>
  <c r="AJ19" i="3"/>
  <c r="AI19" i="3"/>
  <c r="AK19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J13" i="3"/>
  <c r="AI13" i="3"/>
  <c r="AK13" i="3" s="1"/>
  <c r="AJ12" i="3"/>
  <c r="AI12" i="3"/>
  <c r="AK12" i="3" s="1"/>
  <c r="AI26" i="1" l="1"/>
  <c r="AG25" i="1"/>
  <c r="AG26" i="1" s="1"/>
  <c r="AF25" i="1"/>
  <c r="AF26" i="1" s="1"/>
  <c r="AE25" i="1"/>
  <c r="AE26" i="1" s="1"/>
  <c r="AD25" i="1"/>
  <c r="AD26" i="1" s="1"/>
  <c r="AC25" i="1"/>
  <c r="AB25" i="1"/>
  <c r="AB26" i="1" s="1"/>
  <c r="AA25" i="1"/>
  <c r="AA26" i="1" s="1"/>
  <c r="Z25" i="1"/>
  <c r="Z26" i="1" s="1"/>
  <c r="Y25" i="1"/>
  <c r="Y26" i="1" s="1"/>
  <c r="X25" i="1"/>
  <c r="X26" i="1" s="1"/>
  <c r="W25" i="1"/>
  <c r="W26" i="1" s="1"/>
  <c r="V25" i="1"/>
  <c r="V26" i="1" s="1"/>
  <c r="U25" i="1"/>
  <c r="U26" i="1" s="1"/>
  <c r="T25" i="1"/>
  <c r="T26" i="1" s="1"/>
  <c r="S25" i="1"/>
  <c r="S26" i="1" s="1"/>
  <c r="R25" i="1"/>
  <c r="R26" i="1" s="1"/>
  <c r="Q25" i="1"/>
  <c r="Q26" i="1" s="1"/>
  <c r="P25" i="1"/>
  <c r="P26" i="1" s="1"/>
  <c r="O25" i="1"/>
  <c r="O26" i="1" s="1"/>
  <c r="N25" i="1"/>
  <c r="N26" i="1" s="1"/>
  <c r="M25" i="1"/>
  <c r="M26" i="1" s="1"/>
  <c r="L25" i="1"/>
  <c r="L26" i="1" s="1"/>
  <c r="K25" i="1"/>
  <c r="K26" i="1" s="1"/>
  <c r="F25" i="1"/>
  <c r="F26" i="1" s="1"/>
  <c r="I25" i="1"/>
  <c r="H25" i="1"/>
  <c r="G25" i="1"/>
  <c r="I26" i="1" l="1"/>
  <c r="G26" i="1"/>
  <c r="H26" i="1"/>
  <c r="J25" i="1"/>
  <c r="J26" i="1" s="1"/>
</calcChain>
</file>

<file path=xl/sharedStrings.xml><?xml version="1.0" encoding="utf-8"?>
<sst xmlns="http://schemas.openxmlformats.org/spreadsheetml/2006/main" count="1593" uniqueCount="192">
  <si>
    <t>ROLES DE TURNO</t>
  </si>
  <si>
    <t>HOSPITAL MARIA ESPECIALIDADES PEDIATRICAS</t>
  </si>
  <si>
    <t>Área:</t>
  </si>
  <si>
    <t xml:space="preserve">NEFROLOGIA </t>
  </si>
  <si>
    <t xml:space="preserve">Mes: </t>
  </si>
  <si>
    <t>Jefe Inmediato:</t>
  </si>
  <si>
    <t xml:space="preserve">IRENE GARCIA </t>
  </si>
  <si>
    <t xml:space="preserve">Año: </t>
  </si>
  <si>
    <t xml:space="preserve">Puesto de Trabajo: </t>
  </si>
  <si>
    <t xml:space="preserve">ENFERMERAS PROFESIONALES </t>
  </si>
  <si>
    <t>No.</t>
  </si>
  <si>
    <t>Clave</t>
  </si>
  <si>
    <t>Nombre del empleado</t>
  </si>
  <si>
    <t>Día</t>
  </si>
  <si>
    <t>V</t>
  </si>
  <si>
    <t>S</t>
  </si>
  <si>
    <t>D</t>
  </si>
  <si>
    <t>L</t>
  </si>
  <si>
    <t>M</t>
  </si>
  <si>
    <t>J</t>
  </si>
  <si>
    <t xml:space="preserve">TOTALES </t>
  </si>
  <si>
    <t>OBSERVACIONES</t>
  </si>
  <si>
    <t>Fecha</t>
  </si>
  <si>
    <t>A</t>
  </si>
  <si>
    <t>B</t>
  </si>
  <si>
    <t>C</t>
  </si>
  <si>
    <t xml:space="preserve">JEFE DE SALA </t>
  </si>
  <si>
    <t xml:space="preserve">PAGO FERIADO </t>
  </si>
  <si>
    <t>SESAL</t>
  </si>
  <si>
    <t>GARCIA MARTINEZ IRENE MABEL</t>
  </si>
  <si>
    <t xml:space="preserve"> ENFERMEARAS  RATATORIAS</t>
  </si>
  <si>
    <t>BRICEÑO DURON ORFA EUNICE</t>
  </si>
  <si>
    <t>RAMOS NORALES DIANA</t>
  </si>
  <si>
    <t>VILCHEZ BETANCO ANGELA LUCILA</t>
  </si>
  <si>
    <t xml:space="preserve">HERNANDEZ GOMEZ NORMA REGINA </t>
  </si>
  <si>
    <t>TC</t>
  </si>
  <si>
    <t>Desc. Prof 18/05/26 al 18/06/26</t>
  </si>
  <si>
    <t xml:space="preserve">SERVANTEZ MARADIAGA KATERY </t>
  </si>
  <si>
    <t xml:space="preserve">ESCOTO HERNANDEZ FANY GISELA </t>
  </si>
  <si>
    <t>SOSA ZEPEDA JOHANA DULENIA</t>
  </si>
  <si>
    <t>TA</t>
  </si>
  <si>
    <t>TB</t>
  </si>
  <si>
    <r>
      <rPr>
        <b/>
        <sz val="10"/>
        <color rgb="FF000000"/>
        <rFont val="Arial"/>
        <family val="2"/>
      </rPr>
      <t>LICENCIADAS(OS)  EN SERVICIO SOCIAL</t>
    </r>
    <r>
      <rPr>
        <b/>
        <sz val="10"/>
        <color theme="1"/>
        <rFont val="Arial"/>
        <family val="2"/>
      </rPr>
      <t xml:space="preserve"> </t>
    </r>
  </si>
  <si>
    <t xml:space="preserve">CEUTEC </t>
  </si>
  <si>
    <t>PAOLA  ELIZABETH BONILLA FERRERA</t>
  </si>
  <si>
    <t>SS HASTA EL 10/06/2026</t>
  </si>
  <si>
    <t>CUBRE HEMODIALISIS</t>
  </si>
  <si>
    <t>____________________</t>
  </si>
  <si>
    <t>______________________</t>
  </si>
  <si>
    <t>___________________</t>
  </si>
  <si>
    <t xml:space="preserve">         Msc. Irene Garcia </t>
  </si>
  <si>
    <t>Msc.Yeny Mendez</t>
  </si>
  <si>
    <t>Msc. Mercedes Emilia Sánchez</t>
  </si>
  <si>
    <t>Msc. Melania Carolina Herrera</t>
  </si>
  <si>
    <t xml:space="preserve">           Dra. Karla Fernández</t>
  </si>
  <si>
    <t>CAMBIO</t>
  </si>
  <si>
    <t xml:space="preserve">      Jefe de Nefrologia</t>
  </si>
  <si>
    <t xml:space="preserve">Jefe de Servicio Nefrologia </t>
  </si>
  <si>
    <t>Coordinación General de Enfermeria</t>
  </si>
  <si>
    <t>Sub coordinación General de Enfermeria</t>
  </si>
  <si>
    <t xml:space="preserve">      Dirección de Gestión Clinica</t>
  </si>
  <si>
    <t>CONVENIO</t>
  </si>
  <si>
    <t>INCAPACIDAD</t>
  </si>
  <si>
    <t>INASISTENCIA</t>
  </si>
  <si>
    <r>
      <t xml:space="preserve">                          </t>
    </r>
    <r>
      <rPr>
        <b/>
        <sz val="14"/>
        <color rgb="FFFF0000"/>
        <rFont val="Arial"/>
        <family val="2"/>
      </rPr>
      <t>TC</t>
    </r>
    <r>
      <rPr>
        <sz val="11"/>
        <color theme="1"/>
        <rFont val="Arial"/>
        <family val="2"/>
      </rPr>
      <t xml:space="preserve"> </t>
    </r>
  </si>
  <si>
    <t>TURNO COMPENSATORIO</t>
  </si>
  <si>
    <t xml:space="preserve">JUNIO </t>
  </si>
  <si>
    <t>ROL DE TURNOS</t>
  </si>
  <si>
    <t>NEFROLOGIA</t>
  </si>
  <si>
    <t>Mes.</t>
  </si>
  <si>
    <t>AUXILIARES DE ENFERMERIA</t>
  </si>
  <si>
    <t>CLAVE</t>
  </si>
  <si>
    <t xml:space="preserve">Observaciones </t>
  </si>
  <si>
    <t xml:space="preserve">pago feriado </t>
  </si>
  <si>
    <t xml:space="preserve">SESAL </t>
  </si>
  <si>
    <t xml:space="preserve">GONZALES PEÑA ANA GABRIELA </t>
  </si>
  <si>
    <t xml:space="preserve">ORDOÑEZ BARAHONA ANY CRISTEL </t>
  </si>
  <si>
    <t xml:space="preserve">CHACON TORRES ANA YOLANDA </t>
  </si>
  <si>
    <t xml:space="preserve">MARTINEZ HERNANDEZ JAIRO DANILO </t>
  </si>
  <si>
    <t>ORTIZ  MENDOZA VILMA SUYAPA</t>
  </si>
  <si>
    <t>RODRIGUEZ BETANCO JEINNY MELISSA</t>
  </si>
  <si>
    <t>DUBON MATUTE RAMONA BEATRIZ</t>
  </si>
  <si>
    <t>MEZA GUEVARA OLGA SUYAPA</t>
  </si>
  <si>
    <t xml:space="preserve">FLORES FLORES JENNI SARAHI </t>
  </si>
  <si>
    <t xml:space="preserve">RAMOS YENNY YAMILETH </t>
  </si>
  <si>
    <t>BARAHONA MENDOZA MABER JOEL</t>
  </si>
  <si>
    <t xml:space="preserve">Turno A </t>
  </si>
  <si>
    <t>Turno B</t>
  </si>
  <si>
    <t>Turno C</t>
  </si>
  <si>
    <t xml:space="preserve">AUXILIARES EN SERVICIO SOCIAL </t>
  </si>
  <si>
    <t>CUBRE  HD</t>
  </si>
  <si>
    <t>_____________________</t>
  </si>
  <si>
    <t>______________________________</t>
  </si>
  <si>
    <t>________________________________</t>
  </si>
  <si>
    <t>_____________________________</t>
  </si>
  <si>
    <t xml:space="preserve">              </t>
  </si>
  <si>
    <t xml:space="preserve"> </t>
  </si>
  <si>
    <t xml:space="preserve">                             Dra. Karla Fernández</t>
  </si>
  <si>
    <t xml:space="preserve">Jefe de Nefrologia </t>
  </si>
  <si>
    <t xml:space="preserve">L </t>
  </si>
  <si>
    <t>MEJIA NUÑEZ MICHELL ANDREA</t>
  </si>
  <si>
    <t>Des. Prof 15/06/2026 al 16/07/2026</t>
  </si>
  <si>
    <t>Desc. Prof 22/06/2026 al 23/07/2026</t>
  </si>
  <si>
    <t>MONTEZ SALGADO ALICIA ALEJANDRA</t>
  </si>
  <si>
    <t>BONILLA FONSECA WALTER ALEXANDER</t>
  </si>
  <si>
    <t>JUNIO</t>
  </si>
  <si>
    <t xml:space="preserve">C </t>
  </si>
  <si>
    <t>DE</t>
  </si>
  <si>
    <t xml:space="preserve">Des. Prof 04/05/26 al 04/06/26  </t>
  </si>
  <si>
    <t>EM</t>
  </si>
  <si>
    <t>CAE</t>
  </si>
  <si>
    <t xml:space="preserve">  Msc.Irene Garcia </t>
  </si>
  <si>
    <t xml:space="preserve">                Coordinación General de Enfermeria</t>
  </si>
  <si>
    <t xml:space="preserve">       Msc.Yeny Mendez </t>
  </si>
  <si>
    <t xml:space="preserve">             Msc. Melania Carolina Herrera</t>
  </si>
  <si>
    <t>Direccion de Gestion Clinica</t>
  </si>
  <si>
    <t xml:space="preserve"> F1¹ F1²</t>
  </si>
  <si>
    <r>
      <t>FS</t>
    </r>
    <r>
      <rPr>
        <b/>
        <sz val="12"/>
        <color rgb="FFFF0000"/>
        <rFont val="Calibri"/>
        <family val="2"/>
      </rPr>
      <t>²</t>
    </r>
    <r>
      <rPr>
        <b/>
        <sz val="7.2"/>
        <color rgb="FFFF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F14¹ F14² DE</t>
    </r>
  </si>
  <si>
    <r>
      <t>FS</t>
    </r>
    <r>
      <rPr>
        <b/>
        <sz val="18"/>
        <color rgb="FFFF0000"/>
        <rFont val="Calibri"/>
        <family val="2"/>
      </rPr>
      <t>²</t>
    </r>
  </si>
  <si>
    <r>
      <t>F14</t>
    </r>
    <r>
      <rPr>
        <b/>
        <sz val="18"/>
        <color rgb="FFFF0000"/>
        <rFont val="Calibri"/>
        <family val="2"/>
      </rPr>
      <t>¹</t>
    </r>
  </si>
  <si>
    <r>
      <t>F1</t>
    </r>
    <r>
      <rPr>
        <b/>
        <sz val="18"/>
        <color rgb="FFFF0000"/>
        <rFont val="Calibri"/>
        <family val="2"/>
      </rPr>
      <t>¹</t>
    </r>
  </si>
  <si>
    <r>
      <t>F1</t>
    </r>
    <r>
      <rPr>
        <b/>
        <sz val="18"/>
        <color rgb="FFFF0000"/>
        <rFont val="Calibri"/>
        <family val="2"/>
      </rPr>
      <t>²</t>
    </r>
  </si>
  <si>
    <r>
      <t>F14</t>
    </r>
    <r>
      <rPr>
        <b/>
        <sz val="14"/>
        <color rgb="FFFF0000"/>
        <rFont val="Calibri"/>
        <family val="2"/>
      </rPr>
      <t>¹</t>
    </r>
  </si>
  <si>
    <r>
      <t>F14</t>
    </r>
    <r>
      <rPr>
        <b/>
        <sz val="14"/>
        <color rgb="FFFF0000"/>
        <rFont val="Calibri"/>
        <family val="2"/>
      </rPr>
      <t>²</t>
    </r>
  </si>
  <si>
    <t>FJ²</t>
  </si>
  <si>
    <t>Des. Prof 18/05/26 al 16/06/2026  F1² DE</t>
  </si>
  <si>
    <r>
      <t>F1</t>
    </r>
    <r>
      <rPr>
        <b/>
        <sz val="20"/>
        <color rgb="FFFF0000"/>
        <rFont val="Calibri"/>
        <family val="2"/>
      </rPr>
      <t>¹</t>
    </r>
  </si>
  <si>
    <r>
      <t>FV</t>
    </r>
    <r>
      <rPr>
        <b/>
        <sz val="20"/>
        <color rgb="FFFF0000"/>
        <rFont val="Calibri"/>
        <family val="2"/>
      </rPr>
      <t>²</t>
    </r>
  </si>
  <si>
    <r>
      <t>FS</t>
    </r>
    <r>
      <rPr>
        <b/>
        <sz val="20"/>
        <color rgb="FFFF0000"/>
        <rFont val="Calibri"/>
        <family val="2"/>
      </rPr>
      <t>²</t>
    </r>
  </si>
  <si>
    <r>
      <t>FS</t>
    </r>
    <r>
      <rPr>
        <b/>
        <sz val="20"/>
        <color rgb="FFFF0000"/>
        <rFont val="Calibri"/>
        <family val="2"/>
      </rPr>
      <t>¹</t>
    </r>
  </si>
  <si>
    <t>Desc. Prof 25/05/26 al 23/06/26   DE</t>
  </si>
  <si>
    <r>
      <t>F1</t>
    </r>
    <r>
      <rPr>
        <b/>
        <sz val="16"/>
        <color rgb="FFFF0000"/>
        <rFont val="Calibri"/>
        <family val="2"/>
      </rPr>
      <t>²</t>
    </r>
  </si>
  <si>
    <r>
      <t>FV</t>
    </r>
    <r>
      <rPr>
        <b/>
        <sz val="12"/>
        <color rgb="FFFF0000"/>
        <rFont val="Calibri"/>
        <family val="2"/>
      </rPr>
      <t>² F1¹</t>
    </r>
  </si>
  <si>
    <r>
      <t>FS</t>
    </r>
    <r>
      <rPr>
        <b/>
        <sz val="14"/>
        <color rgb="FFFF0000"/>
        <rFont val="Calibri"/>
        <family val="2"/>
      </rPr>
      <t>²</t>
    </r>
  </si>
  <si>
    <t>FS¹ FS²</t>
  </si>
  <si>
    <t>Vac. Ord 15/06/2026 al 10/07/2026  DE</t>
  </si>
  <si>
    <t xml:space="preserve">FV² </t>
  </si>
  <si>
    <r>
      <t xml:space="preserve">Des. P 11/05/26 al 09/06/26  </t>
    </r>
    <r>
      <rPr>
        <b/>
        <sz val="14"/>
        <color rgb="FFFF0000"/>
        <rFont val="Arial"/>
        <family val="2"/>
      </rPr>
      <t>DE</t>
    </r>
  </si>
  <si>
    <t>F14¹ F14²</t>
  </si>
  <si>
    <t>HEMODIALISIS</t>
  </si>
  <si>
    <t>Msc. VANESSA REYES</t>
  </si>
  <si>
    <t xml:space="preserve">PERSONAL DE ENFERMERIA  </t>
  </si>
  <si>
    <t>TT</t>
  </si>
  <si>
    <t>Feriado Pagado</t>
  </si>
  <si>
    <t>PROFESIONALES DE ENFERMERIA</t>
  </si>
  <si>
    <t>100135</t>
  </si>
  <si>
    <t>REYES RIVERA SANDRA VANESSA</t>
  </si>
  <si>
    <t>100281</t>
  </si>
  <si>
    <t>CRUZ CRUZ NANCY MARICELA</t>
  </si>
  <si>
    <t>COBERTURA POR NEFROLOGIA</t>
  </si>
  <si>
    <t>T A</t>
  </si>
  <si>
    <t>GUZMAN PEREIRA SARA ISABEL</t>
  </si>
  <si>
    <t>ROMERO AGUILERA MIRIAN YAMILETH</t>
  </si>
  <si>
    <t>BARAHONA BETANCOURTH ANDREA GISELA</t>
  </si>
  <si>
    <t xml:space="preserve">INDUCCION  </t>
  </si>
  <si>
    <r>
      <rPr>
        <b/>
        <sz val="26"/>
        <rFont val="Calibri"/>
        <family val="2"/>
        <scheme val="minor"/>
      </rPr>
      <t>observaciones:</t>
    </r>
    <r>
      <rPr>
        <b/>
        <sz val="26"/>
        <color rgb="FFFF0000"/>
        <rFont val="Calibri"/>
        <family val="2"/>
        <scheme val="minor"/>
      </rPr>
      <t xml:space="preserve"> </t>
    </r>
  </si>
  <si>
    <t>*1 LIC y 1 AUX DE ENFERMERIA DE HEMODIALISIS, ESTAN ASIGNADOS MOMENTANEAMENTE A NEFROLOGIA.*</t>
  </si>
  <si>
    <t>*AE ANDREA BETANCOURTH SEGUNDO MES DE INDUCCION.</t>
  </si>
  <si>
    <t>.</t>
  </si>
  <si>
    <t xml:space="preserve">    Msc. Vanessa Reyes                                            Msc. Yeny Mendez                                                   Msc. Melania Herrera                                                                   Msc. Mercedes Sanchez                                                Dra. Karla Fernandez  </t>
  </si>
  <si>
    <t>JEFE DE SALA HEMODIALISIS                    JEFE DE SERVICIO NEFROLOGIA               SUB-COORDINADORA DE ENFERMERIA HMEP                                 COORDINADORA DE ENFERMERIA  HMEP             DIREECCION DE GESTION CLINICA HMEP</t>
  </si>
  <si>
    <t>F1² (FERIADOS DE NEFROLOGIA)</t>
  </si>
  <si>
    <t>F1¹ F1² (FERIADOS DE NEFROLOGIA)</t>
  </si>
  <si>
    <t>LIZZY AYLIN ZUNIGA VARELA</t>
  </si>
  <si>
    <t xml:space="preserve">SEIDY MARICRUZ SILVA AGUILAR </t>
  </si>
  <si>
    <t xml:space="preserve">MELANY FERNANDA PINO </t>
  </si>
  <si>
    <t xml:space="preserve">GLORIA EDITH SOSA </t>
  </si>
  <si>
    <t>Jefe de Servicio  Nefrologia</t>
  </si>
  <si>
    <r>
      <t>F1</t>
    </r>
    <r>
      <rPr>
        <b/>
        <sz val="14"/>
        <color rgb="FFFF0000"/>
        <rFont val="Calibri"/>
        <family val="2"/>
      </rPr>
      <t>¹</t>
    </r>
    <r>
      <rPr>
        <b/>
        <sz val="14"/>
        <color rgb="FFFF0000"/>
        <rFont val="Arial"/>
        <family val="2"/>
      </rPr>
      <t xml:space="preserve"> </t>
    </r>
  </si>
  <si>
    <r>
      <t>F1</t>
    </r>
    <r>
      <rPr>
        <b/>
        <sz val="14"/>
        <color rgb="FFFF0000"/>
        <rFont val="Calibri"/>
        <family val="2"/>
      </rPr>
      <t>²</t>
    </r>
    <r>
      <rPr>
        <b/>
        <sz val="8.9499999999999993"/>
        <color rgb="FFFF000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DE</t>
    </r>
  </si>
  <si>
    <r>
      <t>F1</t>
    </r>
    <r>
      <rPr>
        <b/>
        <sz val="14"/>
        <color rgb="FFFF0000"/>
        <rFont val="Calibri"/>
        <family val="2"/>
      </rPr>
      <t xml:space="preserve">² </t>
    </r>
    <r>
      <rPr>
        <b/>
        <sz val="14"/>
        <color rgb="FFFF0000"/>
        <rFont val="Arial"/>
        <family val="2"/>
      </rPr>
      <t>DE</t>
    </r>
  </si>
  <si>
    <t xml:space="preserve">TC F1S² </t>
  </si>
  <si>
    <r>
      <t>F14¹</t>
    </r>
    <r>
      <rPr>
        <b/>
        <sz val="8.9499999999999993"/>
        <color rgb="FFFF0000"/>
        <rFont val="Calibri"/>
        <family val="2"/>
      </rPr>
      <t xml:space="preserve"> </t>
    </r>
    <r>
      <rPr>
        <b/>
        <sz val="14"/>
        <color rgb="FFFF0000"/>
        <rFont val="Calibri"/>
        <family val="2"/>
      </rPr>
      <t>F14²</t>
    </r>
    <r>
      <rPr>
        <b/>
        <sz val="8.9499999999999993"/>
        <color rgb="FFFF0000"/>
        <rFont val="Calibri"/>
        <family val="2"/>
      </rPr>
      <t xml:space="preserve"> </t>
    </r>
    <r>
      <rPr>
        <b/>
        <sz val="14"/>
        <color rgb="FFFF0000"/>
        <rFont val="Calibri"/>
        <family val="2"/>
      </rPr>
      <t>DE</t>
    </r>
  </si>
  <si>
    <t>SE PAGA TC A VILMA ORTIZ EL 10/06/2026 POR CUBRIR TA EL 30/04/2026</t>
  </si>
  <si>
    <t>DP. 15/06/2026 al 14/07/2026 FV¹ FV²</t>
  </si>
  <si>
    <t xml:space="preserve">FJ² </t>
  </si>
  <si>
    <r>
      <t>F14</t>
    </r>
    <r>
      <rPr>
        <b/>
        <sz val="12"/>
        <color rgb="FFFF0000"/>
        <rFont val="Calibri"/>
        <family val="2"/>
      </rPr>
      <t xml:space="preserve">² </t>
    </r>
  </si>
  <si>
    <r>
      <t>F1</t>
    </r>
    <r>
      <rPr>
        <b/>
        <sz val="14"/>
        <color rgb="FFFF0000"/>
        <rFont val="Calibri"/>
        <family val="2"/>
      </rPr>
      <t>¹</t>
    </r>
    <r>
      <rPr>
        <b/>
        <sz val="8.9499999999999993"/>
        <color rgb="FFFF0000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F1² DE</t>
    </r>
  </si>
  <si>
    <r>
      <t xml:space="preserve"> Des. Prof 22/06/2026 AL 21/07/2026 F1¹</t>
    </r>
    <r>
      <rPr>
        <b/>
        <sz val="8.9499999999999993"/>
        <color rgb="FFFF0000"/>
        <rFont val="Calibri"/>
        <family val="2"/>
      </rPr>
      <t xml:space="preserve"> </t>
    </r>
    <r>
      <rPr>
        <b/>
        <sz val="14"/>
        <color rgb="FFFF0000"/>
        <rFont val="Calibri"/>
        <family val="2"/>
      </rPr>
      <t xml:space="preserve">F1² DE </t>
    </r>
  </si>
  <si>
    <t>ALCANTARA MARTINEZ STEVEN JOSEMARIA</t>
  </si>
  <si>
    <t>RODRIGUEZ FIGUEROA BELSY LIZETH</t>
  </si>
  <si>
    <r>
      <t>F14</t>
    </r>
    <r>
      <rPr>
        <b/>
        <sz val="12"/>
        <color rgb="FFFF0000"/>
        <rFont val="Calibri"/>
        <family val="2"/>
      </rPr>
      <t>²</t>
    </r>
  </si>
  <si>
    <t>Desc. Prof 18/05/26 al 18/06/26 DE</t>
  </si>
  <si>
    <r>
      <t>FS</t>
    </r>
    <r>
      <rPr>
        <b/>
        <sz val="18"/>
        <color rgb="FFFF0000"/>
        <rFont val="Calibri"/>
        <family val="2"/>
      </rPr>
      <t>¹</t>
    </r>
  </si>
  <si>
    <t>Se paga Tc a Lic Katery el 12 y 29  cubrir Incap. De Lic. Michell en Hemodialisis el 11 y 14 de mayo 2026</t>
  </si>
  <si>
    <r>
      <t>FS</t>
    </r>
    <r>
      <rPr>
        <b/>
        <sz val="14"/>
        <color rgb="FFFF0000"/>
        <rFont val="Calibri"/>
        <family val="2"/>
      </rPr>
      <t>¹</t>
    </r>
    <r>
      <rPr>
        <b/>
        <sz val="14"/>
        <color rgb="FFFF0000"/>
        <rFont val="Arial"/>
        <family val="2"/>
      </rPr>
      <t xml:space="preserve"> FS</t>
    </r>
    <r>
      <rPr>
        <b/>
        <sz val="14"/>
        <color rgb="FFFF0000"/>
        <rFont val="Calibri"/>
        <family val="2"/>
      </rPr>
      <t>²</t>
    </r>
    <r>
      <rPr>
        <b/>
        <sz val="14"/>
        <color rgb="FFFF0000"/>
        <rFont val="Arial"/>
        <family val="2"/>
      </rPr>
      <t xml:space="preserve">DE TC TC </t>
    </r>
  </si>
  <si>
    <r>
      <t>F14</t>
    </r>
    <r>
      <rPr>
        <b/>
        <sz val="12"/>
        <color rgb="FFFF0000"/>
        <rFont val="Calibri"/>
        <family val="2"/>
      </rPr>
      <t>¹</t>
    </r>
  </si>
  <si>
    <t>Des. Prof 04/05/26 al 04/06/26  DE</t>
  </si>
  <si>
    <r>
      <t>FS</t>
    </r>
    <r>
      <rPr>
        <b/>
        <sz val="12"/>
        <color rgb="FFFF0000"/>
        <rFont val="Calibri"/>
        <family val="2"/>
      </rPr>
      <t>²</t>
    </r>
    <r>
      <rPr>
        <b/>
        <sz val="7.2"/>
        <color rgb="FFFF000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 xml:space="preserve">F14¹ F14² </t>
    </r>
  </si>
  <si>
    <t xml:space="preserve">Observaciones: Se paga TC a Lic Angela Vilchez por cubrir TA en Hemodialisis el 21/05/26 por Incap. Lic Vanessa Reyes </t>
  </si>
  <si>
    <r>
      <t>F1</t>
    </r>
    <r>
      <rPr>
        <b/>
        <sz val="22"/>
        <color rgb="FFFF0000"/>
        <rFont val="Calibri"/>
        <family val="2"/>
      </rPr>
      <t>² ( FERIADO DE NEFROLOGIA)</t>
    </r>
  </si>
  <si>
    <t>INCAPACIDAD 21/5/26 AL 19/6/26 (30D)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</si>
</sst>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b/>
      <sz val="10"/>
      <color theme="4" tint="-0.249977111117893"/>
      <name val="Arial"/>
      <family val="2"/>
    </font>
    <font>
      <b/>
      <sz val="14"/>
      <color theme="1"/>
      <name val="Arial"/>
      <family val="2"/>
    </font>
    <font>
      <b/>
      <sz val="14"/>
      <color rgb="FF00B050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 Rounded MT Bold"/>
      <family val="2"/>
    </font>
    <font>
      <b/>
      <sz val="10"/>
      <name val="Arial Rounded MT Bold"/>
      <family val="2"/>
    </font>
    <font>
      <b/>
      <sz val="12"/>
      <color rgb="FF00B050"/>
      <name val="Arial"/>
      <family val="2"/>
    </font>
    <font>
      <b/>
      <sz val="10"/>
      <color rgb="FFFF0000"/>
      <name val="Arial Rounded MT Bold"/>
      <family val="2"/>
    </font>
    <font>
      <sz val="10"/>
      <color theme="4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trike/>
      <sz val="10"/>
      <color rgb="FFFF0000"/>
      <name val="Arial"/>
      <family val="2"/>
    </font>
    <font>
      <sz val="16"/>
      <color rgb="FFFF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9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 Rounded MT Bold"/>
      <family val="2"/>
    </font>
    <font>
      <sz val="9"/>
      <color theme="1"/>
      <name val="Calibri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 Rounded MT Bold"/>
      <family val="2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Arial Rounded MT Bold"/>
      <family val="2"/>
    </font>
    <font>
      <sz val="10"/>
      <color theme="1"/>
      <name val="Arial Rounded MT Bold"/>
      <family val="2"/>
    </font>
    <font>
      <sz val="12"/>
      <color theme="1"/>
      <name val="Arial Rounded MT Bold"/>
      <family val="2"/>
    </font>
    <font>
      <sz val="11"/>
      <color theme="1"/>
      <name val="Arial Rounded MT Bold"/>
      <family val="2"/>
    </font>
    <font>
      <sz val="11"/>
      <name val="Arial"/>
      <family val="2"/>
    </font>
    <font>
      <b/>
      <sz val="11"/>
      <color theme="1"/>
      <name val="Arial Rounded MT Bold"/>
      <family val="2"/>
    </font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sz val="18"/>
      <color rgb="FFFF0000"/>
      <name val="Calibri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8"/>
      <color rgb="FF00B050"/>
      <name val="Arial"/>
      <family val="2"/>
    </font>
    <font>
      <b/>
      <sz val="8"/>
      <color rgb="FFFF0000"/>
      <name val="Arial"/>
      <family val="2"/>
    </font>
    <font>
      <b/>
      <sz val="12"/>
      <color theme="9"/>
      <name val="Arial"/>
      <family val="2"/>
    </font>
    <font>
      <sz val="12"/>
      <color theme="1"/>
      <name val="Arial"/>
      <family val="2"/>
    </font>
    <font>
      <b/>
      <sz val="7"/>
      <color rgb="FFFF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sz val="12"/>
      <name val="Calibri"/>
      <family val="2"/>
      <scheme val="minor"/>
    </font>
    <font>
      <sz val="12"/>
      <name val="Arial Rounded MT Bold"/>
      <family val="2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sz val="18"/>
      <color theme="1"/>
      <name val="Arial Rounded MT Bold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</font>
    <font>
      <b/>
      <sz val="7.2"/>
      <color rgb="FFFF0000"/>
      <name val="Arial"/>
      <family val="2"/>
    </font>
    <font>
      <b/>
      <sz val="20"/>
      <name val="Calibri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20"/>
      <color theme="1"/>
      <name val="Arial"/>
      <family val="2"/>
    </font>
    <font>
      <b/>
      <sz val="20"/>
      <color rgb="FF00B050"/>
      <name val="Arial"/>
      <family val="2"/>
    </font>
    <font>
      <b/>
      <sz val="20"/>
      <color rgb="FFFF0000"/>
      <name val="Calibri"/>
      <family val="2"/>
    </font>
    <font>
      <b/>
      <sz val="20"/>
      <color rgb="FF00B050"/>
      <name val="Calibri"/>
      <family val="2"/>
    </font>
    <font>
      <b/>
      <sz val="16"/>
      <color rgb="FFFF0000"/>
      <name val="Calibri"/>
      <family val="2"/>
    </font>
    <font>
      <b/>
      <sz val="8.9499999999999993"/>
      <color rgb="FFFF0000"/>
      <name val="Calibri"/>
      <family val="2"/>
    </font>
    <font>
      <sz val="26"/>
      <name val="Calibri"/>
      <family val="2"/>
      <scheme val="minor"/>
    </font>
    <font>
      <b/>
      <sz val="2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000000"/>
      <name val="Arial"/>
      <family val="2"/>
    </font>
    <font>
      <b/>
      <sz val="22"/>
      <color theme="1"/>
      <name val="Arial"/>
      <family val="2"/>
    </font>
    <font>
      <b/>
      <sz val="22"/>
      <color rgb="FFFF0000"/>
      <name val="Arial"/>
      <family val="2"/>
    </font>
    <font>
      <b/>
      <sz val="22"/>
      <name val="Arial"/>
      <family val="2"/>
    </font>
    <font>
      <b/>
      <sz val="26"/>
      <color rgb="FF000000"/>
      <name val="Calibri"/>
      <family val="2"/>
      <scheme val="minor"/>
    </font>
    <font>
      <sz val="24"/>
      <color theme="1"/>
      <name val="Arial"/>
      <family val="2"/>
    </font>
    <font>
      <b/>
      <sz val="24"/>
      <color rgb="FFFF0000"/>
      <name val="Arial"/>
      <family val="2"/>
    </font>
    <font>
      <b/>
      <sz val="24"/>
      <name val="Arial"/>
      <family val="2"/>
    </font>
    <font>
      <b/>
      <sz val="26"/>
      <color rgb="FFFF0000"/>
      <name val="Calibri"/>
      <family val="2"/>
      <scheme val="minor"/>
    </font>
    <font>
      <b/>
      <sz val="24"/>
      <color theme="1"/>
      <name val="Arial"/>
      <family val="2"/>
    </font>
    <font>
      <sz val="22"/>
      <name val="Arial"/>
      <family val="2"/>
    </font>
    <font>
      <b/>
      <sz val="24"/>
      <color theme="9" tint="-0.249977111117893"/>
      <name val="Arial"/>
      <family val="2"/>
    </font>
    <font>
      <sz val="22"/>
      <color rgb="FFFF0000"/>
      <name val="Arial"/>
      <family val="2"/>
    </font>
    <font>
      <sz val="22"/>
      <color theme="1"/>
      <name val="Arial"/>
      <family val="2"/>
    </font>
    <font>
      <b/>
      <sz val="22"/>
      <color theme="9" tint="-0.249977111117893"/>
      <name val="Arial"/>
      <family val="2"/>
    </font>
    <font>
      <b/>
      <sz val="24"/>
      <color theme="9" tint="-0.499984740745262"/>
      <name val="Arial"/>
      <family val="2"/>
    </font>
    <font>
      <b/>
      <sz val="22"/>
      <color theme="9" tint="-0.499984740745262"/>
      <name val="Arial"/>
      <family val="2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 Rounded MT Bold"/>
      <family val="2"/>
    </font>
    <font>
      <sz val="14"/>
      <color theme="1"/>
      <name val="Calibri"/>
      <family val="2"/>
      <scheme val="minor"/>
    </font>
    <font>
      <b/>
      <sz val="8.9499999999999993"/>
      <color rgb="FFFF0000"/>
      <name val="Arial"/>
      <family val="2"/>
    </font>
    <font>
      <sz val="18"/>
      <color rgb="FFFF0000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2" fillId="0" borderId="0"/>
    <xf numFmtId="0" fontId="25" fillId="0" borderId="0"/>
  </cellStyleXfs>
  <cellXfs count="69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left" vertical="center" wrapText="1"/>
    </xf>
    <xf numFmtId="0" fontId="7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left"/>
    </xf>
    <xf numFmtId="0" fontId="18" fillId="6" borderId="24" xfId="0" applyFont="1" applyFill="1" applyBorder="1" applyAlignment="1">
      <alignment horizontal="left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>
      <alignment horizontal="left" vertical="center"/>
    </xf>
    <xf numFmtId="0" fontId="9" fillId="0" borderId="28" xfId="0" applyFont="1" applyBorder="1"/>
    <xf numFmtId="0" fontId="17" fillId="7" borderId="27" xfId="0" applyFont="1" applyFill="1" applyBorder="1" applyAlignment="1">
      <alignment horizontal="left"/>
    </xf>
    <xf numFmtId="0" fontId="18" fillId="7" borderId="24" xfId="0" applyFont="1" applyFill="1" applyBorder="1" applyAlignment="1">
      <alignment horizontal="left"/>
    </xf>
    <xf numFmtId="0" fontId="12" fillId="7" borderId="27" xfId="0" applyFont="1" applyFill="1" applyBorder="1" applyAlignment="1">
      <alignment horizontal="left"/>
    </xf>
    <xf numFmtId="0" fontId="20" fillId="7" borderId="22" xfId="0" applyFont="1" applyFill="1" applyBorder="1" applyAlignment="1"/>
    <xf numFmtId="0" fontId="21" fillId="7" borderId="24" xfId="0" applyFont="1" applyFill="1" applyBorder="1" applyAlignment="1"/>
    <xf numFmtId="0" fontId="12" fillId="7" borderId="24" xfId="0" applyFont="1" applyFill="1" applyBorder="1" applyAlignment="1"/>
    <xf numFmtId="0" fontId="12" fillId="7" borderId="25" xfId="0" applyFont="1" applyFill="1" applyBorder="1" applyAlignment="1"/>
    <xf numFmtId="0" fontId="12" fillId="7" borderId="21" xfId="0" applyFont="1" applyFill="1" applyBorder="1" applyAlignment="1"/>
    <xf numFmtId="0" fontId="12" fillId="0" borderId="21" xfId="0" applyFont="1" applyBorder="1"/>
    <xf numFmtId="0" fontId="13" fillId="5" borderId="27" xfId="0" applyFont="1" applyFill="1" applyBorder="1" applyAlignment="1">
      <alignment horizontal="left" vertical="center" wrapText="1"/>
    </xf>
    <xf numFmtId="0" fontId="23" fillId="7" borderId="27" xfId="1" applyFont="1" applyFill="1" applyBorder="1" applyAlignment="1">
      <alignment vertical="center"/>
    </xf>
    <xf numFmtId="0" fontId="17" fillId="6" borderId="24" xfId="0" applyFont="1" applyFill="1" applyBorder="1" applyAlignment="1">
      <alignment horizontal="left"/>
    </xf>
    <xf numFmtId="0" fontId="24" fillId="0" borderId="21" xfId="0" applyFont="1" applyBorder="1"/>
    <xf numFmtId="0" fontId="7" fillId="0" borderId="29" xfId="0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left" vertical="center" wrapText="1"/>
    </xf>
    <xf numFmtId="4" fontId="23" fillId="7" borderId="29" xfId="2" applyNumberFormat="1" applyFont="1" applyFill="1" applyBorder="1"/>
    <xf numFmtId="0" fontId="9" fillId="0" borderId="27" xfId="0" applyFont="1" applyBorder="1"/>
    <xf numFmtId="0" fontId="20" fillId="7" borderId="28" xfId="0" applyFont="1" applyFill="1" applyBorder="1" applyAlignment="1"/>
    <xf numFmtId="0" fontId="21" fillId="7" borderId="27" xfId="0" applyFont="1" applyFill="1" applyBorder="1" applyAlignment="1"/>
    <xf numFmtId="0" fontId="12" fillId="7" borderId="27" xfId="0" applyFont="1" applyFill="1" applyBorder="1" applyAlignment="1"/>
    <xf numFmtId="0" fontId="12" fillId="7" borderId="31" xfId="0" applyFont="1" applyFill="1" applyBorder="1" applyAlignment="1"/>
    <xf numFmtId="0" fontId="26" fillId="7" borderId="30" xfId="0" applyFont="1" applyFill="1" applyBorder="1" applyAlignment="1"/>
    <xf numFmtId="0" fontId="11" fillId="7" borderId="28" xfId="0" applyFont="1" applyFill="1" applyBorder="1" applyAlignment="1"/>
    <xf numFmtId="0" fontId="12" fillId="0" borderId="30" xfId="0" applyFont="1" applyBorder="1" applyAlignment="1">
      <alignment wrapText="1"/>
    </xf>
    <xf numFmtId="0" fontId="26" fillId="0" borderId="30" xfId="0" applyFont="1" applyBorder="1"/>
    <xf numFmtId="0" fontId="7" fillId="0" borderId="32" xfId="0" applyFont="1" applyFill="1" applyBorder="1" applyAlignment="1">
      <alignment horizontal="center" vertical="center"/>
    </xf>
    <xf numFmtId="4" fontId="23" fillId="0" borderId="33" xfId="2" applyNumberFormat="1" applyFont="1" applyFill="1" applyBorder="1" applyAlignment="1">
      <alignment horizontal="center" vertical="center"/>
    </xf>
    <xf numFmtId="4" fontId="23" fillId="0" borderId="32" xfId="2" applyNumberFormat="1" applyFont="1" applyFill="1" applyBorder="1" applyAlignment="1">
      <alignment vertical="center" wrapText="1"/>
    </xf>
    <xf numFmtId="0" fontId="28" fillId="5" borderId="27" xfId="0" applyFont="1" applyFill="1" applyBorder="1" applyAlignment="1">
      <alignment horizontal="center" vertical="center"/>
    </xf>
    <xf numFmtId="0" fontId="27" fillId="9" borderId="34" xfId="0" applyFont="1" applyFill="1" applyBorder="1" applyAlignment="1">
      <alignment horizontal="center"/>
    </xf>
    <xf numFmtId="0" fontId="27" fillId="5" borderId="34" xfId="0" applyFont="1" applyFill="1" applyBorder="1" applyAlignment="1">
      <alignment horizontal="center"/>
    </xf>
    <xf numFmtId="0" fontId="30" fillId="5" borderId="34" xfId="0" applyFont="1" applyFill="1" applyBorder="1" applyAlignment="1">
      <alignment horizontal="center"/>
    </xf>
    <xf numFmtId="0" fontId="27" fillId="7" borderId="34" xfId="0" applyFont="1" applyFill="1" applyBorder="1" applyAlignment="1">
      <alignment horizontal="center"/>
    </xf>
    <xf numFmtId="0" fontId="29" fillId="5" borderId="34" xfId="0" applyFont="1" applyFill="1" applyBorder="1" applyAlignment="1">
      <alignment horizontal="center"/>
    </xf>
    <xf numFmtId="0" fontId="29" fillId="7" borderId="34" xfId="0" applyFont="1" applyFill="1" applyBorder="1" applyAlignment="1">
      <alignment horizontal="center"/>
    </xf>
    <xf numFmtId="0" fontId="30" fillId="9" borderId="34" xfId="0" applyFont="1" applyFill="1" applyBorder="1" applyAlignment="1">
      <alignment horizontal="center"/>
    </xf>
    <xf numFmtId="0" fontId="28" fillId="0" borderId="34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26" fillId="5" borderId="33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vertical="center"/>
    </xf>
    <xf numFmtId="4" fontId="28" fillId="0" borderId="0" xfId="2" applyNumberFormat="1" applyFont="1" applyFill="1" applyBorder="1" applyAlignment="1">
      <alignment vertical="center" wrapText="1"/>
    </xf>
    <xf numFmtId="4" fontId="28" fillId="0" borderId="0" xfId="2" applyNumberFormat="1" applyFont="1" applyBorder="1" applyAlignment="1">
      <alignment wrapText="1"/>
    </xf>
    <xf numFmtId="0" fontId="31" fillId="0" borderId="24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4" fontId="33" fillId="0" borderId="0" xfId="2" applyNumberFormat="1" applyFont="1" applyFill="1" applyBorder="1" applyAlignment="1">
      <alignment horizontal="left"/>
    </xf>
    <xf numFmtId="4" fontId="33" fillId="0" borderId="0" xfId="2" applyNumberFormat="1" applyFont="1" applyBorder="1" applyAlignment="1">
      <alignment wrapText="1"/>
    </xf>
    <xf numFmtId="0" fontId="34" fillId="0" borderId="27" xfId="0" applyFont="1" applyBorder="1" applyAlignment="1">
      <alignment horizontal="center"/>
    </xf>
    <xf numFmtId="0" fontId="35" fillId="7" borderId="0" xfId="0" applyFont="1" applyFill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15" fillId="7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6" fillId="0" borderId="4" xfId="0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37" fillId="2" borderId="26" xfId="0" applyFont="1" applyFill="1" applyBorder="1" applyAlignment="1">
      <alignment horizontal="left" vertical="center"/>
    </xf>
    <xf numFmtId="0" fontId="10" fillId="10" borderId="37" xfId="0" applyFont="1" applyFill="1" applyBorder="1" applyAlignment="1">
      <alignment horizontal="left" vertical="center" wrapText="1"/>
    </xf>
    <xf numFmtId="0" fontId="7" fillId="0" borderId="30" xfId="0" applyFont="1" applyFill="1" applyBorder="1" applyAlignment="1">
      <alignment horizontal="left" vertical="center"/>
    </xf>
    <xf numFmtId="0" fontId="10" fillId="0" borderId="27" xfId="0" applyFont="1" applyFill="1" applyBorder="1" applyAlignment="1">
      <alignment horizontal="left" vertical="center"/>
    </xf>
    <xf numFmtId="0" fontId="15" fillId="0" borderId="27" xfId="0" applyFont="1" applyFill="1" applyBorder="1" applyAlignment="1">
      <alignment horizontal="left" vertical="center"/>
    </xf>
    <xf numFmtId="0" fontId="7" fillId="0" borderId="33" xfId="0" applyFont="1" applyFill="1" applyBorder="1" applyAlignment="1">
      <alignment horizontal="left" vertical="center"/>
    </xf>
    <xf numFmtId="4" fontId="23" fillId="0" borderId="38" xfId="2" applyNumberFormat="1" applyFont="1" applyFill="1" applyBorder="1" applyAlignment="1">
      <alignment horizontal="left" vertical="center"/>
    </xf>
    <xf numFmtId="0" fontId="23" fillId="11" borderId="34" xfId="0" applyFont="1" applyFill="1" applyBorder="1" applyAlignment="1">
      <alignment horizontal="left" vertical="center"/>
    </xf>
    <xf numFmtId="0" fontId="38" fillId="7" borderId="34" xfId="0" applyFont="1" applyFill="1" applyBorder="1" applyAlignment="1">
      <alignment horizontal="left" vertical="center"/>
    </xf>
    <xf numFmtId="0" fontId="30" fillId="5" borderId="39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0" fillId="5" borderId="34" xfId="0" applyFont="1" applyFill="1" applyBorder="1" applyAlignment="1">
      <alignment horizontal="center" vertical="center"/>
    </xf>
    <xf numFmtId="0" fontId="27" fillId="5" borderId="39" xfId="0" applyFont="1" applyFill="1" applyBorder="1" applyAlignment="1">
      <alignment horizontal="center" vertical="center"/>
    </xf>
    <xf numFmtId="0" fontId="29" fillId="5" borderId="34" xfId="0" applyFont="1" applyFill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29" fillId="5" borderId="39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 wrapText="1"/>
    </xf>
    <xf numFmtId="0" fontId="40" fillId="7" borderId="0" xfId="0" applyFont="1" applyFill="1" applyBorder="1"/>
    <xf numFmtId="0" fontId="40" fillId="0" borderId="0" xfId="0" applyFont="1" applyFill="1" applyBorder="1" applyAlignment="1">
      <alignment horizontal="center"/>
    </xf>
    <xf numFmtId="0" fontId="40" fillId="0" borderId="0" xfId="0" applyFont="1" applyFill="1" applyBorder="1"/>
    <xf numFmtId="0" fontId="5" fillId="7" borderId="0" xfId="0" applyFont="1" applyFill="1" applyBorder="1"/>
    <xf numFmtId="0" fontId="41" fillId="0" borderId="0" xfId="0" applyFont="1" applyFill="1" applyBorder="1"/>
    <xf numFmtId="0" fontId="28" fillId="7" borderId="0" xfId="0" applyFont="1" applyFill="1" applyBorder="1"/>
    <xf numFmtId="0" fontId="42" fillId="0" borderId="0" xfId="0" applyFont="1" applyFill="1" applyBorder="1"/>
    <xf numFmtId="0" fontId="5" fillId="8" borderId="27" xfId="0" applyFont="1" applyFill="1" applyBorder="1" applyAlignment="1">
      <alignment horizontal="center"/>
    </xf>
    <xf numFmtId="0" fontId="43" fillId="0" borderId="0" xfId="0" applyFont="1" applyFill="1" applyBorder="1" applyAlignment="1">
      <alignment wrapText="1"/>
    </xf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7" borderId="0" xfId="0" applyFont="1" applyFill="1" applyBorder="1" applyAlignment="1">
      <alignment horizontal="center"/>
    </xf>
    <xf numFmtId="0" fontId="48" fillId="0" borderId="0" xfId="0" applyFont="1" applyFill="1" applyBorder="1"/>
    <xf numFmtId="0" fontId="48" fillId="0" borderId="0" xfId="0" applyFont="1" applyFill="1" applyBorder="1" applyAlignment="1">
      <alignment horizontal="center"/>
    </xf>
    <xf numFmtId="0" fontId="49" fillId="0" borderId="0" xfId="0" applyFont="1"/>
    <xf numFmtId="0" fontId="22" fillId="0" borderId="0" xfId="0" applyFont="1" applyFill="1" applyBorder="1"/>
    <xf numFmtId="0" fontId="22" fillId="0" borderId="0" xfId="0" applyFont="1"/>
    <xf numFmtId="0" fontId="49" fillId="0" borderId="0" xfId="0" applyFont="1" applyAlignment="1">
      <alignment horizontal="left"/>
    </xf>
    <xf numFmtId="0" fontId="29" fillId="7" borderId="0" xfId="0" applyFont="1" applyFill="1" applyBorder="1" applyAlignment="1">
      <alignment horizontal="center"/>
    </xf>
    <xf numFmtId="0" fontId="50" fillId="0" borderId="0" xfId="0" applyFont="1"/>
    <xf numFmtId="0" fontId="2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 applyAlignment="1">
      <alignment horizontal="left"/>
    </xf>
    <xf numFmtId="0" fontId="52" fillId="0" borderId="0" xfId="0" applyFont="1"/>
    <xf numFmtId="0" fontId="43" fillId="12" borderId="0" xfId="0" applyFont="1" applyFill="1"/>
    <xf numFmtId="0" fontId="22" fillId="0" borderId="0" xfId="0" applyFont="1" applyAlignment="1">
      <alignment horizontal="left"/>
    </xf>
    <xf numFmtId="0" fontId="53" fillId="0" borderId="0" xfId="0" applyFont="1" applyFill="1" applyBorder="1"/>
    <xf numFmtId="0" fontId="53" fillId="0" borderId="0" xfId="0" applyFont="1" applyFill="1" applyBorder="1" applyAlignment="1">
      <alignment horizontal="center"/>
    </xf>
    <xf numFmtId="0" fontId="54" fillId="0" borderId="0" xfId="0" applyFont="1"/>
    <xf numFmtId="0" fontId="55" fillId="0" borderId="0" xfId="0" applyFont="1" applyFill="1" applyBorder="1"/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/>
    <xf numFmtId="0" fontId="0" fillId="0" borderId="0" xfId="0" applyFont="1"/>
    <xf numFmtId="0" fontId="59" fillId="0" borderId="0" xfId="0" applyFont="1" applyAlignment="1">
      <alignment horizontal="center"/>
    </xf>
    <xf numFmtId="0" fontId="59" fillId="0" borderId="0" xfId="0" applyFont="1"/>
    <xf numFmtId="0" fontId="4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49" fillId="0" borderId="1" xfId="0" applyFont="1" applyBorder="1" applyAlignment="1">
      <alignment horizontal="center"/>
    </xf>
    <xf numFmtId="0" fontId="62" fillId="13" borderId="41" xfId="0" applyFont="1" applyFill="1" applyBorder="1"/>
    <xf numFmtId="0" fontId="7" fillId="2" borderId="3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62" fillId="0" borderId="0" xfId="0" applyFont="1"/>
    <xf numFmtId="0" fontId="62" fillId="13" borderId="43" xfId="0" applyFont="1" applyFill="1" applyBorder="1"/>
    <xf numFmtId="0" fontId="7" fillId="4" borderId="44" xfId="0" applyFont="1" applyFill="1" applyBorder="1" applyAlignment="1">
      <alignment horizontal="center" vertical="center"/>
    </xf>
    <xf numFmtId="0" fontId="63" fillId="4" borderId="15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horizontal="center" vertical="center"/>
    </xf>
    <xf numFmtId="0" fontId="26" fillId="4" borderId="45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31" fillId="0" borderId="49" xfId="0" applyFont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left"/>
    </xf>
    <xf numFmtId="0" fontId="23" fillId="7" borderId="28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wrapText="1"/>
    </xf>
    <xf numFmtId="0" fontId="24" fillId="0" borderId="51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26" fillId="7" borderId="4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horizontal="left" vertical="center" wrapText="1"/>
    </xf>
    <xf numFmtId="0" fontId="31" fillId="0" borderId="52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29" fillId="0" borderId="54" xfId="1" applyFont="1" applyBorder="1" applyAlignment="1">
      <alignment horizontal="left" vertical="center" wrapText="1"/>
    </xf>
    <xf numFmtId="0" fontId="68" fillId="7" borderId="55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3" fillId="7" borderId="23" xfId="0" applyFont="1" applyFill="1" applyBorder="1" applyAlignment="1">
      <alignment horizontal="center" vertical="center" wrapText="1"/>
    </xf>
    <xf numFmtId="0" fontId="23" fillId="5" borderId="23" xfId="0" applyFont="1" applyFill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 wrapText="1"/>
    </xf>
    <xf numFmtId="0" fontId="31" fillId="7" borderId="23" xfId="0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1" fillId="0" borderId="23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69" fillId="7" borderId="44" xfId="0" applyFont="1" applyFill="1" applyBorder="1" applyAlignment="1">
      <alignment horizontal="center" vertical="center" wrapText="1"/>
    </xf>
    <xf numFmtId="0" fontId="34" fillId="6" borderId="15" xfId="0" applyFont="1" applyFill="1" applyBorder="1" applyAlignment="1">
      <alignment horizontal="center" vertical="center" wrapText="1"/>
    </xf>
    <xf numFmtId="0" fontId="34" fillId="7" borderId="15" xfId="0" applyFont="1" applyFill="1" applyBorder="1" applyAlignment="1">
      <alignment horizontal="center" vertical="center" wrapText="1"/>
    </xf>
    <xf numFmtId="0" fontId="34" fillId="5" borderId="15" xfId="0" applyFont="1" applyFill="1" applyBorder="1" applyAlignment="1">
      <alignment horizontal="center" vertical="center"/>
    </xf>
    <xf numFmtId="0" fontId="23" fillId="7" borderId="44" xfId="0" applyFont="1" applyFill="1" applyBorder="1" applyAlignment="1">
      <alignment horizontal="center" vertical="center" wrapText="1"/>
    </xf>
    <xf numFmtId="0" fontId="31" fillId="7" borderId="15" xfId="0" applyFont="1" applyFill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56" xfId="0" applyFont="1" applyBorder="1" applyAlignment="1">
      <alignment horizontal="center" vertical="center"/>
    </xf>
    <xf numFmtId="0" fontId="23" fillId="0" borderId="46" xfId="1" applyFont="1" applyBorder="1" applyAlignment="1">
      <alignment horizontal="left" vertical="center" wrapText="1"/>
    </xf>
    <xf numFmtId="0" fontId="70" fillId="7" borderId="38" xfId="0" applyFont="1" applyFill="1" applyBorder="1" applyAlignment="1">
      <alignment horizontal="center" vertical="center" wrapText="1"/>
    </xf>
    <xf numFmtId="0" fontId="26" fillId="6" borderId="34" xfId="0" applyFont="1" applyFill="1" applyBorder="1" applyAlignment="1">
      <alignment horizontal="center" vertical="center" wrapText="1"/>
    </xf>
    <xf numFmtId="0" fontId="26" fillId="7" borderId="34" xfId="0" applyFont="1" applyFill="1" applyBorder="1" applyAlignment="1">
      <alignment horizontal="center" vertical="center" wrapText="1"/>
    </xf>
    <xf numFmtId="0" fontId="26" fillId="5" borderId="34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4" fontId="23" fillId="0" borderId="8" xfId="2" applyNumberFormat="1" applyFont="1" applyBorder="1" applyAlignment="1">
      <alignment horizontal="left" vertical="center" wrapText="1"/>
    </xf>
    <xf numFmtId="0" fontId="23" fillId="7" borderId="36" xfId="0" applyFont="1" applyFill="1" applyBorder="1" applyAlignment="1">
      <alignment horizontal="center" vertical="center" wrapText="1"/>
    </xf>
    <xf numFmtId="0" fontId="34" fillId="7" borderId="7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/>
    </xf>
    <xf numFmtId="4" fontId="31" fillId="0" borderId="50" xfId="2" applyNumberFormat="1" applyFont="1" applyBorder="1" applyAlignment="1">
      <alignment horizontal="left" vertical="center" wrapText="1"/>
    </xf>
    <xf numFmtId="0" fontId="20" fillId="6" borderId="27" xfId="0" applyFont="1" applyFill="1" applyBorder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0" fontId="12" fillId="6" borderId="27" xfId="0" applyFont="1" applyFill="1" applyBorder="1" applyAlignment="1">
      <alignment horizontal="center" vertical="center" wrapText="1"/>
    </xf>
    <xf numFmtId="0" fontId="34" fillId="7" borderId="27" xfId="0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center" vertical="center" wrapText="1"/>
    </xf>
    <xf numFmtId="0" fontId="27" fillId="7" borderId="50" xfId="0" applyFont="1" applyFill="1" applyBorder="1" applyAlignment="1">
      <alignment horizontal="center" vertical="center" wrapText="1"/>
    </xf>
    <xf numFmtId="0" fontId="31" fillId="0" borderId="50" xfId="1" applyFont="1" applyBorder="1" applyAlignment="1">
      <alignment horizontal="left" vertical="center" wrapText="1"/>
    </xf>
    <xf numFmtId="0" fontId="31" fillId="0" borderId="58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4" fontId="31" fillId="0" borderId="53" xfId="2" applyNumberFormat="1" applyFont="1" applyBorder="1" applyAlignment="1">
      <alignment horizontal="left" vertical="center" wrapText="1"/>
    </xf>
    <xf numFmtId="0" fontId="23" fillId="7" borderId="38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0" fontId="27" fillId="7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left" vertical="center" wrapText="1"/>
    </xf>
    <xf numFmtId="0" fontId="62" fillId="0" borderId="11" xfId="0" applyFont="1" applyBorder="1"/>
    <xf numFmtId="0" fontId="23" fillId="7" borderId="0" xfId="1" applyFont="1" applyFill="1" applyBorder="1" applyAlignment="1">
      <alignment horizontal="center" vertical="center" wrapText="1"/>
    </xf>
    <xf numFmtId="0" fontId="71" fillId="7" borderId="0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center" vertical="center"/>
    </xf>
    <xf numFmtId="0" fontId="72" fillId="7" borderId="0" xfId="0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 wrapText="1"/>
    </xf>
    <xf numFmtId="0" fontId="31" fillId="7" borderId="0" xfId="0" applyFont="1" applyFill="1" applyBorder="1" applyAlignment="1">
      <alignment horizontal="center" vertical="center" wrapText="1"/>
    </xf>
    <xf numFmtId="0" fontId="31" fillId="8" borderId="0" xfId="0" applyFont="1" applyFill="1" applyBorder="1" applyAlignment="1">
      <alignment horizontal="center" vertical="center" wrapText="1"/>
    </xf>
    <xf numFmtId="0" fontId="26" fillId="7" borderId="0" xfId="0" applyFont="1" applyFill="1" applyBorder="1" applyAlignment="1">
      <alignment horizontal="center" vertical="center"/>
    </xf>
    <xf numFmtId="0" fontId="73" fillId="7" borderId="54" xfId="0" applyFont="1" applyFill="1" applyBorder="1" applyAlignment="1">
      <alignment horizontal="left" vertical="center" wrapText="1"/>
    </xf>
    <xf numFmtId="0" fontId="62" fillId="0" borderId="49" xfId="0" applyFont="1" applyBorder="1"/>
    <xf numFmtId="0" fontId="7" fillId="2" borderId="6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23" fillId="4" borderId="44" xfId="0" applyFont="1" applyFill="1" applyBorder="1" applyAlignment="1">
      <alignment horizontal="center" vertical="center"/>
    </xf>
    <xf numFmtId="0" fontId="34" fillId="4" borderId="15" xfId="0" applyFont="1" applyFill="1" applyBorder="1" applyAlignment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2" fillId="0" borderId="14" xfId="0" applyFont="1" applyBorder="1"/>
    <xf numFmtId="4" fontId="23" fillId="0" borderId="61" xfId="2" applyNumberFormat="1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15" fillId="5" borderId="54" xfId="0" applyFont="1" applyFill="1" applyBorder="1" applyAlignment="1">
      <alignment horizontal="left" vertical="center" wrapText="1"/>
    </xf>
    <xf numFmtId="0" fontId="62" fillId="0" borderId="27" xfId="0" applyFont="1" applyBorder="1"/>
    <xf numFmtId="0" fontId="7" fillId="5" borderId="27" xfId="0" applyFont="1" applyFill="1" applyBorder="1" applyAlignment="1">
      <alignment horizontal="center" vertical="center"/>
    </xf>
    <xf numFmtId="4" fontId="23" fillId="0" borderId="27" xfId="2" applyNumberFormat="1" applyFont="1" applyBorder="1" applyAlignment="1">
      <alignment horizontal="center" vertical="center" wrapText="1"/>
    </xf>
    <xf numFmtId="0" fontId="23" fillId="7" borderId="27" xfId="0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left" vertical="center" wrapText="1"/>
    </xf>
    <xf numFmtId="0" fontId="74" fillId="7" borderId="0" xfId="1" applyFont="1" applyFill="1" applyBorder="1" applyAlignment="1">
      <alignment vertical="center"/>
    </xf>
    <xf numFmtId="0" fontId="72" fillId="7" borderId="0" xfId="0" applyFont="1" applyFill="1" applyBorder="1" applyAlignment="1">
      <alignment vertical="center"/>
    </xf>
    <xf numFmtId="0" fontId="75" fillId="7" borderId="0" xfId="0" applyFont="1" applyFill="1" applyBorder="1" applyAlignment="1">
      <alignment vertical="center"/>
    </xf>
    <xf numFmtId="0" fontId="75" fillId="7" borderId="0" xfId="0" applyFont="1" applyFill="1" applyBorder="1" applyAlignment="1">
      <alignment horizontal="center" vertical="center"/>
    </xf>
    <xf numFmtId="0" fontId="74" fillId="7" borderId="0" xfId="0" applyFont="1" applyFill="1" applyBorder="1" applyAlignment="1">
      <alignment horizontal="center" vertical="center"/>
    </xf>
    <xf numFmtId="0" fontId="76" fillId="0" borderId="0" xfId="0" applyFont="1"/>
    <xf numFmtId="0" fontId="72" fillId="0" borderId="0" xfId="0" applyFont="1" applyAlignment="1">
      <alignment horizontal="left" vertical="center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23" fillId="7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58" fillId="7" borderId="0" xfId="0" applyFont="1" applyFill="1" applyBorder="1"/>
    <xf numFmtId="0" fontId="23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0" fontId="77" fillId="0" borderId="0" xfId="0" applyFont="1" applyFill="1" applyBorder="1" applyAlignment="1">
      <alignment horizontal="right"/>
    </xf>
    <xf numFmtId="0" fontId="31" fillId="0" borderId="0" xfId="0" applyFont="1" applyAlignment="1">
      <alignment horizontal="left" vertical="center"/>
    </xf>
    <xf numFmtId="0" fontId="57" fillId="0" borderId="0" xfId="0" applyFont="1"/>
    <xf numFmtId="0" fontId="58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7" borderId="0" xfId="0" applyFont="1" applyFill="1" applyBorder="1"/>
    <xf numFmtId="0" fontId="26" fillId="7" borderId="0" xfId="0" applyFont="1" applyFill="1" applyBorder="1" applyAlignment="1">
      <alignment horizontal="center" wrapText="1"/>
    </xf>
    <xf numFmtId="0" fontId="26" fillId="5" borderId="0" xfId="0" applyFont="1" applyFill="1" applyBorder="1" applyAlignment="1">
      <alignment horizontal="center"/>
    </xf>
    <xf numFmtId="0" fontId="78" fillId="0" borderId="0" xfId="0" applyFont="1"/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80" fillId="0" borderId="0" xfId="0" applyFont="1"/>
    <xf numFmtId="0" fontId="80" fillId="0" borderId="0" xfId="0" applyFont="1" applyAlignment="1"/>
    <xf numFmtId="0" fontId="80" fillId="0" borderId="0" xfId="0" applyFont="1" applyAlignment="1">
      <alignment horizontal="center"/>
    </xf>
    <xf numFmtId="0" fontId="81" fillId="0" borderId="0" xfId="0" applyFont="1"/>
    <xf numFmtId="0" fontId="82" fillId="0" borderId="0" xfId="0" applyFont="1" applyAlignment="1">
      <alignment horizontal="center"/>
    </xf>
    <xf numFmtId="0" fontId="83" fillId="0" borderId="0" xfId="0" applyFont="1"/>
    <xf numFmtId="0" fontId="30" fillId="7" borderId="34" xfId="0" applyFont="1" applyFill="1" applyBorder="1" applyAlignment="1">
      <alignment horizontal="center"/>
    </xf>
    <xf numFmtId="0" fontId="19" fillId="14" borderId="26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/>
    </xf>
    <xf numFmtId="0" fontId="29" fillId="6" borderId="34" xfId="0" applyFont="1" applyFill="1" applyBorder="1" applyAlignment="1">
      <alignment horizontal="center"/>
    </xf>
    <xf numFmtId="0" fontId="27" fillId="7" borderId="34" xfId="0" applyFont="1" applyFill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29" fillId="9" borderId="34" xfId="0" applyFont="1" applyFill="1" applyBorder="1" applyAlignment="1">
      <alignment horizontal="center" vertical="center"/>
    </xf>
    <xf numFmtId="0" fontId="27" fillId="9" borderId="34" xfId="0" applyFont="1" applyFill="1" applyBorder="1" applyAlignment="1">
      <alignment horizontal="center" vertical="center"/>
    </xf>
    <xf numFmtId="0" fontId="12" fillId="0" borderId="30" xfId="0" applyFont="1" applyBorder="1"/>
    <xf numFmtId="0" fontId="23" fillId="9" borderId="23" xfId="0" applyFont="1" applyFill="1" applyBorder="1" applyAlignment="1">
      <alignment horizontal="center" vertical="center"/>
    </xf>
    <xf numFmtId="0" fontId="34" fillId="9" borderId="15" xfId="0" applyFont="1" applyFill="1" applyBorder="1" applyAlignment="1">
      <alignment horizontal="center" vertical="center"/>
    </xf>
    <xf numFmtId="0" fontId="26" fillId="9" borderId="34" xfId="0" applyFont="1" applyFill="1" applyBorder="1" applyAlignment="1">
      <alignment horizontal="center" vertical="center"/>
    </xf>
    <xf numFmtId="0" fontId="29" fillId="4" borderId="44" xfId="0" applyFont="1" applyFill="1" applyBorder="1" applyAlignment="1">
      <alignment horizontal="center" vertical="center"/>
    </xf>
    <xf numFmtId="0" fontId="49" fillId="0" borderId="0" xfId="0" applyFont="1" applyBorder="1" applyAlignment="1">
      <alignment horizontal="center"/>
    </xf>
    <xf numFmtId="0" fontId="17" fillId="2" borderId="27" xfId="0" applyFont="1" applyFill="1" applyBorder="1" applyAlignment="1">
      <alignment horizontal="center" vertical="center"/>
    </xf>
    <xf numFmtId="0" fontId="63" fillId="4" borderId="27" xfId="0" applyFont="1" applyFill="1" applyBorder="1" applyAlignment="1">
      <alignment horizontal="center" vertical="center"/>
    </xf>
    <xf numFmtId="0" fontId="43" fillId="5" borderId="28" xfId="0" applyFont="1" applyFill="1" applyBorder="1" applyAlignment="1">
      <alignment horizontal="center" vertical="center"/>
    </xf>
    <xf numFmtId="0" fontId="12" fillId="16" borderId="27" xfId="0" applyFont="1" applyFill="1" applyBorder="1" applyAlignment="1">
      <alignment horizontal="left"/>
    </xf>
    <xf numFmtId="0" fontId="67" fillId="7" borderId="24" xfId="0" applyFont="1" applyFill="1" applyBorder="1" applyAlignment="1">
      <alignment horizontal="left"/>
    </xf>
    <xf numFmtId="0" fontId="67" fillId="6" borderId="27" xfId="0" applyFont="1" applyFill="1" applyBorder="1" applyAlignment="1">
      <alignment horizontal="left"/>
    </xf>
    <xf numFmtId="0" fontId="26" fillId="5" borderId="15" xfId="0" applyFont="1" applyFill="1" applyBorder="1" applyAlignment="1">
      <alignment horizontal="left"/>
    </xf>
    <xf numFmtId="0" fontId="26" fillId="7" borderId="27" xfId="0" applyFont="1" applyFill="1" applyBorder="1" applyAlignment="1">
      <alignment horizontal="left" vertical="center" wrapText="1"/>
    </xf>
    <xf numFmtId="0" fontId="12" fillId="7" borderId="27" xfId="0" applyFont="1" applyFill="1" applyBorder="1" applyAlignment="1">
      <alignment horizontal="left" wrapText="1"/>
    </xf>
    <xf numFmtId="4" fontId="23" fillId="0" borderId="27" xfId="2" applyNumberFormat="1" applyFont="1" applyBorder="1" applyAlignment="1">
      <alignment horizontal="left" vertical="center" wrapText="1"/>
    </xf>
    <xf numFmtId="0" fontId="58" fillId="0" borderId="0" xfId="0" applyFont="1" applyAlignment="1">
      <alignment horizontal="left"/>
    </xf>
    <xf numFmtId="0" fontId="5" fillId="7" borderId="0" xfId="0" applyFont="1" applyFill="1" applyBorder="1" applyAlignment="1">
      <alignment horizontal="center"/>
    </xf>
    <xf numFmtId="0" fontId="12" fillId="0" borderId="30" xfId="0" applyFont="1" applyBorder="1" applyAlignment="1">
      <alignment vertical="top"/>
    </xf>
    <xf numFmtId="0" fontId="65" fillId="7" borderId="24" xfId="0" applyFont="1" applyFill="1" applyBorder="1" applyAlignment="1">
      <alignment horizontal="left"/>
    </xf>
    <xf numFmtId="0" fontId="64" fillId="7" borderId="24" xfId="0" applyFont="1" applyFill="1" applyBorder="1" applyAlignment="1">
      <alignment horizontal="left"/>
    </xf>
    <xf numFmtId="0" fontId="67" fillId="6" borderId="24" xfId="0" applyFont="1" applyFill="1" applyBorder="1" applyAlignment="1">
      <alignment horizontal="left"/>
    </xf>
    <xf numFmtId="0" fontId="65" fillId="6" borderId="24" xfId="0" applyFont="1" applyFill="1" applyBorder="1" applyAlignment="1">
      <alignment horizontal="left"/>
    </xf>
    <xf numFmtId="0" fontId="64" fillId="7" borderId="27" xfId="0" applyFont="1" applyFill="1" applyBorder="1" applyAlignment="1">
      <alignment horizontal="left"/>
    </xf>
    <xf numFmtId="0" fontId="65" fillId="7" borderId="27" xfId="0" applyFont="1" applyFill="1" applyBorder="1" applyAlignment="1">
      <alignment horizontal="left"/>
    </xf>
    <xf numFmtId="0" fontId="65" fillId="6" borderId="27" xfId="0" applyFont="1" applyFill="1" applyBorder="1" applyAlignment="1">
      <alignment horizontal="left"/>
    </xf>
    <xf numFmtId="0" fontId="65" fillId="16" borderId="27" xfId="0" applyFont="1" applyFill="1" applyBorder="1" applyAlignment="1">
      <alignment horizontal="left"/>
    </xf>
    <xf numFmtId="0" fontId="65" fillId="16" borderId="24" xfId="0" applyFont="1" applyFill="1" applyBorder="1" applyAlignment="1">
      <alignment horizontal="left"/>
    </xf>
    <xf numFmtId="0" fontId="64" fillId="6" borderId="24" xfId="0" applyFont="1" applyFill="1" applyBorder="1" applyAlignment="1">
      <alignment horizontal="left"/>
    </xf>
    <xf numFmtId="0" fontId="4" fillId="7" borderId="24" xfId="0" applyFont="1" applyFill="1" applyBorder="1" applyAlignment="1">
      <alignment horizontal="left"/>
    </xf>
    <xf numFmtId="0" fontId="67" fillId="7" borderId="27" xfId="0" applyFont="1" applyFill="1" applyBorder="1" applyAlignment="1">
      <alignment horizontal="left"/>
    </xf>
    <xf numFmtId="0" fontId="67" fillId="8" borderId="27" xfId="0" applyFont="1" applyFill="1" applyBorder="1" applyAlignment="1">
      <alignment horizontal="left"/>
    </xf>
    <xf numFmtId="0" fontId="64" fillId="6" borderId="27" xfId="0" applyFont="1" applyFill="1" applyBorder="1" applyAlignment="1">
      <alignment horizontal="left"/>
    </xf>
    <xf numFmtId="0" fontId="4" fillId="7" borderId="27" xfId="0" applyFont="1" applyFill="1" applyBorder="1" applyAlignment="1">
      <alignment horizontal="left"/>
    </xf>
    <xf numFmtId="0" fontId="4" fillId="8" borderId="27" xfId="0" applyFont="1" applyFill="1" applyBorder="1" applyAlignment="1">
      <alignment horizontal="left"/>
    </xf>
    <xf numFmtId="0" fontId="4" fillId="6" borderId="27" xfId="0" applyFont="1" applyFill="1" applyBorder="1" applyAlignment="1">
      <alignment horizontal="left"/>
    </xf>
    <xf numFmtId="0" fontId="64" fillId="7" borderId="28" xfId="0" applyFont="1" applyFill="1" applyBorder="1" applyAlignment="1">
      <alignment horizontal="left"/>
    </xf>
    <xf numFmtId="0" fontId="65" fillId="7" borderId="31" xfId="0" applyFont="1" applyFill="1" applyBorder="1" applyAlignment="1">
      <alignment horizontal="left"/>
    </xf>
    <xf numFmtId="0" fontId="67" fillId="7" borderId="28" xfId="0" applyFont="1" applyFill="1" applyBorder="1" applyAlignment="1">
      <alignment horizontal="left"/>
    </xf>
    <xf numFmtId="0" fontId="46" fillId="0" borderId="28" xfId="0" applyFont="1" applyBorder="1" applyAlignment="1">
      <alignment horizontal="left"/>
    </xf>
    <xf numFmtId="0" fontId="46" fillId="0" borderId="27" xfId="0" applyFont="1" applyBorder="1"/>
    <xf numFmtId="0" fontId="45" fillId="0" borderId="27" xfId="0" applyFont="1" applyBorder="1"/>
    <xf numFmtId="0" fontId="26" fillId="0" borderId="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3" fillId="7" borderId="28" xfId="0" applyFont="1" applyFill="1" applyBorder="1" applyAlignment="1">
      <alignment horizontal="center" wrapText="1"/>
    </xf>
    <xf numFmtId="0" fontId="26" fillId="0" borderId="27" xfId="0" applyFont="1" applyBorder="1" applyAlignment="1">
      <alignment horizontal="center" wrapText="1"/>
    </xf>
    <xf numFmtId="0" fontId="26" fillId="0" borderId="15" xfId="0" applyFont="1" applyBorder="1" applyAlignment="1">
      <alignment horizontal="center" vertical="center" wrapText="1"/>
    </xf>
    <xf numFmtId="0" fontId="23" fillId="7" borderId="36" xfId="0" applyFont="1" applyFill="1" applyBorder="1" applyAlignment="1">
      <alignment horizontal="center" wrapText="1"/>
    </xf>
    <xf numFmtId="0" fontId="34" fillId="7" borderId="7" xfId="0" applyFont="1" applyFill="1" applyBorder="1" applyAlignment="1">
      <alignment horizontal="center" wrapText="1"/>
    </xf>
    <xf numFmtId="0" fontId="34" fillId="7" borderId="27" xfId="0" applyFont="1" applyFill="1" applyBorder="1" applyAlignment="1">
      <alignment horizontal="center" wrapText="1"/>
    </xf>
    <xf numFmtId="0" fontId="23" fillId="7" borderId="44" xfId="0" applyFont="1" applyFill="1" applyBorder="1" applyAlignment="1">
      <alignment horizontal="center" wrapText="1"/>
    </xf>
    <xf numFmtId="0" fontId="34" fillId="7" borderId="15" xfId="0" applyFont="1" applyFill="1" applyBorder="1" applyAlignment="1">
      <alignment horizontal="center" wrapText="1"/>
    </xf>
    <xf numFmtId="0" fontId="12" fillId="0" borderId="51" xfId="0" applyFont="1" applyBorder="1" applyAlignment="1">
      <alignment horizontal="left" vertical="center"/>
    </xf>
    <xf numFmtId="0" fontId="86" fillId="7" borderId="47" xfId="0" applyFont="1" applyFill="1" applyBorder="1" applyAlignment="1">
      <alignment horizontal="left" wrapText="1"/>
    </xf>
    <xf numFmtId="0" fontId="87" fillId="7" borderId="7" xfId="0" applyFont="1" applyFill="1" applyBorder="1" applyAlignment="1">
      <alignment horizontal="center" vertical="center" wrapText="1"/>
    </xf>
    <xf numFmtId="0" fontId="88" fillId="7" borderId="27" xfId="0" applyFont="1" applyFill="1" applyBorder="1" applyAlignment="1">
      <alignment horizontal="center" vertical="center" wrapText="1"/>
    </xf>
    <xf numFmtId="0" fontId="89" fillId="5" borderId="27" xfId="0" applyFont="1" applyFill="1" applyBorder="1" applyAlignment="1">
      <alignment horizontal="center" vertical="center"/>
    </xf>
    <xf numFmtId="0" fontId="90" fillId="7" borderId="7" xfId="0" applyFont="1" applyFill="1" applyBorder="1" applyAlignment="1">
      <alignment horizontal="center" vertical="center" wrapText="1"/>
    </xf>
    <xf numFmtId="0" fontId="90" fillId="7" borderId="47" xfId="0" applyFont="1" applyFill="1" applyBorder="1" applyAlignment="1">
      <alignment horizontal="center" vertical="center" wrapText="1"/>
    </xf>
    <xf numFmtId="0" fontId="88" fillId="7" borderId="47" xfId="0" applyFont="1" applyFill="1" applyBorder="1" applyAlignment="1">
      <alignment horizontal="center" vertical="center" wrapText="1"/>
    </xf>
    <xf numFmtId="0" fontId="87" fillId="5" borderId="47" xfId="0" applyFont="1" applyFill="1" applyBorder="1" applyAlignment="1">
      <alignment horizontal="center" vertical="center"/>
    </xf>
    <xf numFmtId="0" fontId="87" fillId="9" borderId="47" xfId="0" applyFont="1" applyFill="1" applyBorder="1" applyAlignment="1">
      <alignment horizontal="center" vertical="center"/>
    </xf>
    <xf numFmtId="0" fontId="90" fillId="5" borderId="47" xfId="0" applyFont="1" applyFill="1" applyBorder="1" applyAlignment="1">
      <alignment horizontal="center" vertical="center"/>
    </xf>
    <xf numFmtId="0" fontId="88" fillId="5" borderId="47" xfId="0" applyFont="1" applyFill="1" applyBorder="1" applyAlignment="1">
      <alignment horizontal="center" vertical="center"/>
    </xf>
    <xf numFmtId="0" fontId="88" fillId="7" borderId="7" xfId="0" applyFont="1" applyFill="1" applyBorder="1" applyAlignment="1">
      <alignment horizontal="center" vertical="center" wrapText="1"/>
    </xf>
    <xf numFmtId="0" fontId="89" fillId="7" borderId="7" xfId="0" applyFont="1" applyFill="1" applyBorder="1" applyAlignment="1">
      <alignment horizontal="center" vertical="center" wrapText="1"/>
    </xf>
    <xf numFmtId="0" fontId="91" fillId="7" borderId="15" xfId="0" applyFont="1" applyFill="1" applyBorder="1" applyAlignment="1">
      <alignment horizontal="left" wrapText="1"/>
    </xf>
    <xf numFmtId="0" fontId="87" fillId="7" borderId="24" xfId="0" applyFont="1" applyFill="1" applyBorder="1" applyAlignment="1">
      <alignment horizontal="center" vertical="center" wrapText="1"/>
    </xf>
    <xf numFmtId="0" fontId="87" fillId="5" borderId="27" xfId="0" applyFont="1" applyFill="1" applyBorder="1" applyAlignment="1">
      <alignment horizontal="center" vertical="center"/>
    </xf>
    <xf numFmtId="0" fontId="90" fillId="7" borderId="24" xfId="0" applyFont="1" applyFill="1" applyBorder="1" applyAlignment="1">
      <alignment horizontal="center" vertical="center" wrapText="1"/>
    </xf>
    <xf numFmtId="0" fontId="88" fillId="6" borderId="24" xfId="0" applyFont="1" applyFill="1" applyBorder="1" applyAlignment="1">
      <alignment horizontal="center" vertical="center" wrapText="1"/>
    </xf>
    <xf numFmtId="0" fontId="87" fillId="6" borderId="24" xfId="0" applyFont="1" applyFill="1" applyBorder="1" applyAlignment="1">
      <alignment horizontal="center" vertical="center" wrapText="1"/>
    </xf>
    <xf numFmtId="0" fontId="89" fillId="7" borderId="27" xfId="0" applyFont="1" applyFill="1" applyBorder="1" applyAlignment="1">
      <alignment horizontal="center" vertical="center" wrapText="1"/>
    </xf>
    <xf numFmtId="0" fontId="90" fillId="5" borderId="15" xfId="0" applyFont="1" applyFill="1" applyBorder="1" applyAlignment="1">
      <alignment horizontal="center" vertical="center"/>
    </xf>
    <xf numFmtId="0" fontId="90" fillId="9" borderId="15" xfId="0" applyFont="1" applyFill="1" applyBorder="1" applyAlignment="1">
      <alignment horizontal="center" vertical="center"/>
    </xf>
    <xf numFmtId="0" fontId="88" fillId="6" borderId="27" xfId="0" applyFont="1" applyFill="1" applyBorder="1" applyAlignment="1">
      <alignment horizontal="center" vertical="center" wrapText="1"/>
    </xf>
    <xf numFmtId="0" fontId="90" fillId="7" borderId="27" xfId="0" applyFont="1" applyFill="1" applyBorder="1" applyAlignment="1">
      <alignment horizontal="center" vertical="center" wrapText="1"/>
    </xf>
    <xf numFmtId="0" fontId="87" fillId="5" borderId="15" xfId="0" applyFont="1" applyFill="1" applyBorder="1" applyAlignment="1">
      <alignment horizontal="center" vertical="center"/>
    </xf>
    <xf numFmtId="0" fontId="87" fillId="7" borderId="27" xfId="0" applyFont="1" applyFill="1" applyBorder="1" applyAlignment="1">
      <alignment horizontal="center" vertical="center" wrapText="1"/>
    </xf>
    <xf numFmtId="0" fontId="88" fillId="5" borderId="15" xfId="0" applyFont="1" applyFill="1" applyBorder="1" applyAlignment="1">
      <alignment horizontal="center" vertical="center"/>
    </xf>
    <xf numFmtId="0" fontId="88" fillId="9" borderId="15" xfId="0" applyFont="1" applyFill="1" applyBorder="1" applyAlignment="1">
      <alignment horizontal="center" vertical="center"/>
    </xf>
    <xf numFmtId="0" fontId="89" fillId="5" borderId="15" xfId="0" applyFont="1" applyFill="1" applyBorder="1" applyAlignment="1">
      <alignment horizontal="center" vertical="center"/>
    </xf>
    <xf numFmtId="0" fontId="87" fillId="7" borderId="34" xfId="0" applyFont="1" applyFill="1" applyBorder="1" applyAlignment="1">
      <alignment horizontal="left" wrapText="1"/>
    </xf>
    <xf numFmtId="0" fontId="87" fillId="7" borderId="34" xfId="0" applyFont="1" applyFill="1" applyBorder="1" applyAlignment="1">
      <alignment horizontal="center" vertical="center" wrapText="1"/>
    </xf>
    <xf numFmtId="0" fontId="87" fillId="7" borderId="39" xfId="0" applyFont="1" applyFill="1" applyBorder="1" applyAlignment="1">
      <alignment horizontal="center" vertical="center" wrapText="1"/>
    </xf>
    <xf numFmtId="0" fontId="88" fillId="5" borderId="34" xfId="0" applyFont="1" applyFill="1" applyBorder="1" applyAlignment="1">
      <alignment horizontal="left"/>
    </xf>
    <xf numFmtId="0" fontId="87" fillId="9" borderId="34" xfId="0" applyFont="1" applyFill="1" applyBorder="1" applyAlignment="1">
      <alignment horizontal="left"/>
    </xf>
    <xf numFmtId="0" fontId="88" fillId="6" borderId="34" xfId="0" applyFont="1" applyFill="1" applyBorder="1" applyAlignment="1">
      <alignment horizontal="center" vertical="center" wrapText="1"/>
    </xf>
    <xf numFmtId="0" fontId="89" fillId="7" borderId="34" xfId="0" applyFont="1" applyFill="1" applyBorder="1" applyAlignment="1">
      <alignment horizontal="center" vertical="center" wrapText="1"/>
    </xf>
    <xf numFmtId="0" fontId="87" fillId="5" borderId="34" xfId="0" applyFont="1" applyFill="1" applyBorder="1" applyAlignment="1">
      <alignment horizontal="center" vertical="center"/>
    </xf>
    <xf numFmtId="0" fontId="88" fillId="9" borderId="34" xfId="0" applyFont="1" applyFill="1" applyBorder="1" applyAlignment="1">
      <alignment horizontal="center" vertical="center"/>
    </xf>
    <xf numFmtId="0" fontId="89" fillId="5" borderId="34" xfId="0" applyFont="1" applyFill="1" applyBorder="1" applyAlignment="1">
      <alignment horizontal="center" vertical="center"/>
    </xf>
    <xf numFmtId="0" fontId="90" fillId="7" borderId="34" xfId="0" applyFont="1" applyFill="1" applyBorder="1" applyAlignment="1">
      <alignment horizontal="center" vertical="center" wrapText="1"/>
    </xf>
    <xf numFmtId="0" fontId="88" fillId="7" borderId="7" xfId="0" applyFont="1" applyFill="1" applyBorder="1" applyAlignment="1">
      <alignment horizontal="left" wrapText="1"/>
    </xf>
    <xf numFmtId="0" fontId="89" fillId="7" borderId="7" xfId="0" applyFont="1" applyFill="1" applyBorder="1" applyAlignment="1">
      <alignment horizontal="left" wrapText="1"/>
    </xf>
    <xf numFmtId="0" fontId="89" fillId="5" borderId="47" xfId="0" applyFont="1" applyFill="1" applyBorder="1" applyAlignment="1">
      <alignment horizontal="left"/>
    </xf>
    <xf numFmtId="0" fontId="88" fillId="5" borderId="47" xfId="0" applyFont="1" applyFill="1" applyBorder="1" applyAlignment="1">
      <alignment horizontal="left"/>
    </xf>
    <xf numFmtId="0" fontId="90" fillId="6" borderId="27" xfId="0" applyFont="1" applyFill="1" applyBorder="1" applyAlignment="1">
      <alignment horizontal="left" wrapText="1"/>
    </xf>
    <xf numFmtId="0" fontId="90" fillId="6" borderId="7" xfId="0" applyFont="1" applyFill="1" applyBorder="1" applyAlignment="1">
      <alignment horizontal="left" wrapText="1"/>
    </xf>
    <xf numFmtId="0" fontId="90" fillId="7" borderId="7" xfId="0" applyFont="1" applyFill="1" applyBorder="1" applyAlignment="1">
      <alignment horizontal="left" wrapText="1"/>
    </xf>
    <xf numFmtId="0" fontId="90" fillId="5" borderId="47" xfId="0" applyFont="1" applyFill="1" applyBorder="1" applyAlignment="1">
      <alignment horizontal="left"/>
    </xf>
    <xf numFmtId="0" fontId="89" fillId="6" borderId="7" xfId="0" applyFont="1" applyFill="1" applyBorder="1" applyAlignment="1">
      <alignment horizontal="left" wrapText="1"/>
    </xf>
    <xf numFmtId="0" fontId="88" fillId="9" borderId="47" xfId="0" applyFont="1" applyFill="1" applyBorder="1" applyAlignment="1">
      <alignment horizontal="left"/>
    </xf>
    <xf numFmtId="0" fontId="87" fillId="6" borderId="7" xfId="0" applyFont="1" applyFill="1" applyBorder="1" applyAlignment="1">
      <alignment horizontal="left" wrapText="1"/>
    </xf>
    <xf numFmtId="0" fontId="90" fillId="7" borderId="27" xfId="0" applyFont="1" applyFill="1" applyBorder="1" applyAlignment="1">
      <alignment horizontal="left" wrapText="1"/>
    </xf>
    <xf numFmtId="0" fontId="87" fillId="7" borderId="27" xfId="0" applyFont="1" applyFill="1" applyBorder="1" applyAlignment="1">
      <alignment horizontal="left" wrapText="1"/>
    </xf>
    <xf numFmtId="0" fontId="89" fillId="7" borderId="27" xfId="0" applyFont="1" applyFill="1" applyBorder="1" applyAlignment="1">
      <alignment horizontal="left" wrapText="1"/>
    </xf>
    <xf numFmtId="0" fontId="88" fillId="7" borderId="27" xfId="0" applyFont="1" applyFill="1" applyBorder="1" applyAlignment="1">
      <alignment horizontal="left" wrapText="1"/>
    </xf>
    <xf numFmtId="0" fontId="90" fillId="5" borderId="15" xfId="0" applyFont="1" applyFill="1" applyBorder="1" applyAlignment="1">
      <alignment horizontal="left"/>
    </xf>
    <xf numFmtId="0" fontId="90" fillId="9" borderId="15" xfId="0" applyFont="1" applyFill="1" applyBorder="1" applyAlignment="1">
      <alignment horizontal="left"/>
    </xf>
    <xf numFmtId="0" fontId="88" fillId="6" borderId="27" xfId="0" applyFont="1" applyFill="1" applyBorder="1" applyAlignment="1">
      <alignment horizontal="left" wrapText="1"/>
    </xf>
    <xf numFmtId="0" fontId="87" fillId="5" borderId="15" xfId="0" applyFont="1" applyFill="1" applyBorder="1" applyAlignment="1">
      <alignment horizontal="left"/>
    </xf>
    <xf numFmtId="0" fontId="87" fillId="6" borderId="27" xfId="0" applyFont="1" applyFill="1" applyBorder="1" applyAlignment="1">
      <alignment horizontal="left" wrapText="1"/>
    </xf>
    <xf numFmtId="0" fontId="88" fillId="5" borderId="15" xfId="0" applyFont="1" applyFill="1" applyBorder="1" applyAlignment="1">
      <alignment horizontal="left"/>
    </xf>
    <xf numFmtId="0" fontId="88" fillId="9" borderId="15" xfId="0" applyFont="1" applyFill="1" applyBorder="1" applyAlignment="1">
      <alignment horizontal="left"/>
    </xf>
    <xf numFmtId="0" fontId="89" fillId="9" borderId="15" xfId="0" applyFont="1" applyFill="1" applyBorder="1" applyAlignment="1">
      <alignment horizontal="left"/>
    </xf>
    <xf numFmtId="0" fontId="89" fillId="5" borderId="15" xfId="0" applyFont="1" applyFill="1" applyBorder="1" applyAlignment="1">
      <alignment horizontal="left"/>
    </xf>
    <xf numFmtId="0" fontId="88" fillId="15" borderId="28" xfId="0" applyFont="1" applyFill="1" applyBorder="1" applyAlignment="1">
      <alignment horizontal="center" vertical="center" wrapText="1"/>
    </xf>
    <xf numFmtId="0" fontId="91" fillId="6" borderId="27" xfId="0" applyFont="1" applyFill="1" applyBorder="1" applyAlignment="1">
      <alignment horizontal="left" wrapText="1"/>
    </xf>
    <xf numFmtId="0" fontId="88" fillId="15" borderId="27" xfId="0" applyFont="1" applyFill="1" applyBorder="1" applyAlignment="1">
      <alignment horizontal="center" vertical="center" wrapText="1"/>
    </xf>
    <xf numFmtId="0" fontId="91" fillId="7" borderId="27" xfId="0" applyFont="1" applyFill="1" applyBorder="1" applyAlignment="1">
      <alignment horizontal="left" wrapText="1"/>
    </xf>
    <xf numFmtId="0" fontId="87" fillId="9" borderId="15" xfId="0" applyFont="1" applyFill="1" applyBorder="1" applyAlignment="1">
      <alignment horizontal="left"/>
    </xf>
    <xf numFmtId="0" fontId="89" fillId="6" borderId="27" xfId="0" applyFont="1" applyFill="1" applyBorder="1" applyAlignment="1">
      <alignment horizontal="left" wrapText="1"/>
    </xf>
    <xf numFmtId="0" fontId="87" fillId="5" borderId="47" xfId="0" applyFont="1" applyFill="1" applyBorder="1" applyAlignment="1">
      <alignment horizontal="left"/>
    </xf>
    <xf numFmtId="0" fontId="88" fillId="9" borderId="27" xfId="0" applyFont="1" applyFill="1" applyBorder="1" applyAlignment="1">
      <alignment horizontal="left"/>
    </xf>
    <xf numFmtId="0" fontId="88" fillId="7" borderId="27" xfId="0" applyFont="1" applyFill="1" applyBorder="1" applyAlignment="1">
      <alignment horizontal="left" vertical="center" wrapText="1"/>
    </xf>
    <xf numFmtId="0" fontId="90" fillId="7" borderId="15" xfId="0" applyFont="1" applyFill="1" applyBorder="1" applyAlignment="1">
      <alignment horizontal="left" wrapText="1"/>
    </xf>
    <xf numFmtId="0" fontId="88" fillId="7" borderId="15" xfId="0" applyFont="1" applyFill="1" applyBorder="1" applyAlignment="1">
      <alignment horizontal="left" wrapText="1"/>
    </xf>
    <xf numFmtId="0" fontId="87" fillId="7" borderId="15" xfId="0" applyFont="1" applyFill="1" applyBorder="1" applyAlignment="1">
      <alignment horizontal="left" wrapText="1"/>
    </xf>
    <xf numFmtId="0" fontId="88" fillId="6" borderId="15" xfId="0" applyFont="1" applyFill="1" applyBorder="1" applyAlignment="1">
      <alignment horizontal="left" wrapText="1"/>
    </xf>
    <xf numFmtId="0" fontId="89" fillId="7" borderId="15" xfId="0" applyFont="1" applyFill="1" applyBorder="1" applyAlignment="1">
      <alignment horizontal="left" wrapText="1"/>
    </xf>
    <xf numFmtId="0" fontId="18" fillId="7" borderId="27" xfId="0" applyFont="1" applyFill="1" applyBorder="1" applyAlignment="1">
      <alignment horizontal="center" vertical="center" wrapText="1"/>
    </xf>
    <xf numFmtId="0" fontId="18" fillId="7" borderId="27" xfId="0" applyFont="1" applyFill="1" applyBorder="1" applyAlignment="1">
      <alignment horizontal="left" vertical="center" wrapText="1"/>
    </xf>
    <xf numFmtId="0" fontId="87" fillId="8" borderId="15" xfId="0" applyFont="1" applyFill="1" applyBorder="1" applyAlignment="1">
      <alignment horizontal="left" wrapText="1"/>
    </xf>
    <xf numFmtId="0" fontId="92" fillId="7" borderId="15" xfId="0" applyFont="1" applyFill="1" applyBorder="1" applyAlignment="1">
      <alignment horizontal="left" vertical="center" wrapText="1"/>
    </xf>
    <xf numFmtId="0" fontId="17" fillId="7" borderId="27" xfId="0" applyFont="1" applyFill="1" applyBorder="1" applyAlignment="1">
      <alignment horizontal="center" vertical="center" wrapText="1"/>
    </xf>
    <xf numFmtId="0" fontId="17" fillId="7" borderId="15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90" fillId="9" borderId="27" xfId="0" applyFont="1" applyFill="1" applyBorder="1" applyAlignment="1">
      <alignment horizontal="center" vertical="center"/>
    </xf>
    <xf numFmtId="0" fontId="87" fillId="6" borderId="27" xfId="0" applyFont="1" applyFill="1" applyBorder="1" applyAlignment="1">
      <alignment horizontal="center" vertical="center" wrapText="1"/>
    </xf>
    <xf numFmtId="0" fontId="89" fillId="8" borderId="27" xfId="0" applyFont="1" applyFill="1" applyBorder="1" applyAlignment="1">
      <alignment horizontal="left" wrapText="1"/>
    </xf>
    <xf numFmtId="0" fontId="87" fillId="18" borderId="15" xfId="0" applyFont="1" applyFill="1" applyBorder="1" applyAlignment="1">
      <alignment horizontal="left"/>
    </xf>
    <xf numFmtId="0" fontId="89" fillId="18" borderId="15" xfId="0" applyFont="1" applyFill="1" applyBorder="1" applyAlignment="1">
      <alignment horizontal="left"/>
    </xf>
    <xf numFmtId="0" fontId="89" fillId="18" borderId="47" xfId="0" applyFont="1" applyFill="1" applyBorder="1" applyAlignment="1">
      <alignment horizontal="left"/>
    </xf>
    <xf numFmtId="0" fontId="87" fillId="8" borderId="27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5" fillId="0" borderId="0" xfId="0" applyFont="1"/>
    <xf numFmtId="0" fontId="9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96" fillId="0" borderId="0" xfId="0" applyFont="1"/>
    <xf numFmtId="0" fontId="97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9" fillId="19" borderId="7" xfId="0" applyFont="1" applyFill="1" applyBorder="1" applyAlignment="1">
      <alignment horizontal="center" vertical="center" wrapText="1"/>
    </xf>
    <xf numFmtId="0" fontId="100" fillId="19" borderId="7" xfId="0" applyFont="1" applyFill="1" applyBorder="1" applyAlignment="1">
      <alignment horizontal="center" vertical="center" wrapText="1"/>
    </xf>
    <xf numFmtId="0" fontId="101" fillId="20" borderId="34" xfId="0" applyFont="1" applyFill="1" applyBorder="1" applyAlignment="1">
      <alignment horizontal="center" vertical="center" wrapText="1"/>
    </xf>
    <xf numFmtId="0" fontId="98" fillId="21" borderId="34" xfId="0" applyFont="1" applyFill="1" applyBorder="1" applyAlignment="1">
      <alignment horizontal="center" vertical="center" wrapText="1"/>
    </xf>
    <xf numFmtId="0" fontId="100" fillId="20" borderId="34" xfId="0" applyFont="1" applyFill="1" applyBorder="1" applyAlignment="1">
      <alignment horizontal="center" vertical="center" wrapText="1"/>
    </xf>
    <xf numFmtId="0" fontId="100" fillId="20" borderId="53" xfId="0" applyFont="1" applyFill="1" applyBorder="1" applyAlignment="1">
      <alignment horizontal="center" vertical="center" wrapText="1"/>
    </xf>
    <xf numFmtId="0" fontId="102" fillId="10" borderId="46" xfId="0" applyFont="1" applyFill="1" applyBorder="1" applyAlignment="1">
      <alignment horizontal="center" vertical="center" wrapText="1"/>
    </xf>
    <xf numFmtId="0" fontId="99" fillId="0" borderId="63" xfId="0" applyFont="1" applyBorder="1" applyAlignment="1">
      <alignment horizontal="center" wrapText="1"/>
    </xf>
    <xf numFmtId="4" fontId="101" fillId="0" borderId="24" xfId="2" applyNumberFormat="1" applyFont="1" applyFill="1" applyBorder="1" applyAlignment="1">
      <alignment wrapText="1"/>
    </xf>
    <xf numFmtId="0" fontId="103" fillId="0" borderId="24" xfId="0" applyFont="1" applyBorder="1" applyAlignment="1">
      <alignment horizontal="center" vertical="center" wrapText="1"/>
    </xf>
    <xf numFmtId="0" fontId="104" fillId="7" borderId="24" xfId="0" applyFont="1" applyFill="1" applyBorder="1" applyAlignment="1">
      <alignment horizontal="center" vertical="center" wrapText="1"/>
    </xf>
    <xf numFmtId="0" fontId="105" fillId="7" borderId="24" xfId="0" applyFont="1" applyFill="1" applyBorder="1" applyAlignment="1">
      <alignment horizontal="center" vertical="center" wrapText="1"/>
    </xf>
    <xf numFmtId="0" fontId="104" fillId="6" borderId="24" xfId="0" applyFont="1" applyFill="1" applyBorder="1" applyAlignment="1">
      <alignment horizontal="center" vertical="center" wrapText="1"/>
    </xf>
    <xf numFmtId="0" fontId="104" fillId="6" borderId="27" xfId="0" applyFont="1" applyFill="1" applyBorder="1" applyAlignment="1">
      <alignment horizontal="center" vertical="center" wrapText="1"/>
    </xf>
    <xf numFmtId="0" fontId="105" fillId="0" borderId="27" xfId="0" applyFont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 wrapText="1"/>
    </xf>
    <xf numFmtId="0" fontId="106" fillId="0" borderId="60" xfId="0" applyFont="1" applyBorder="1" applyAlignment="1">
      <alignment vertical="center" wrapText="1"/>
    </xf>
    <xf numFmtId="0" fontId="99" fillId="0" borderId="49" xfId="0" applyFont="1" applyBorder="1" applyAlignment="1">
      <alignment horizontal="center" wrapText="1"/>
    </xf>
    <xf numFmtId="4" fontId="101" fillId="0" borderId="27" xfId="2" applyNumberFormat="1" applyFont="1" applyBorder="1"/>
    <xf numFmtId="0" fontId="103" fillId="0" borderId="27" xfId="0" applyFont="1" applyBorder="1" applyAlignment="1">
      <alignment horizontal="center" vertical="center" wrapText="1"/>
    </xf>
    <xf numFmtId="0" fontId="105" fillId="7" borderId="27" xfId="0" applyFont="1" applyFill="1" applyBorder="1" applyAlignment="1">
      <alignment horizontal="center" vertical="center" wrapText="1"/>
    </xf>
    <xf numFmtId="0" fontId="104" fillId="7" borderId="27" xfId="0" applyFont="1" applyFill="1" applyBorder="1" applyAlignment="1">
      <alignment horizontal="center" vertical="center" wrapText="1"/>
    </xf>
    <xf numFmtId="0" fontId="107" fillId="7" borderId="24" xfId="0" applyFont="1" applyFill="1" applyBorder="1" applyAlignment="1">
      <alignment horizontal="center" vertical="center" wrapText="1"/>
    </xf>
    <xf numFmtId="0" fontId="107" fillId="7" borderId="27" xfId="0" applyFont="1" applyFill="1" applyBorder="1" applyAlignment="1">
      <alignment horizontal="center" vertical="center" wrapText="1"/>
    </xf>
    <xf numFmtId="0" fontId="100" fillId="0" borderId="50" xfId="0" applyFont="1" applyBorder="1" applyAlignment="1">
      <alignment horizontal="center" vertical="center" wrapText="1"/>
    </xf>
    <xf numFmtId="4" fontId="108" fillId="0" borderId="24" xfId="2" applyNumberFormat="1" applyFont="1" applyBorder="1" applyAlignment="1">
      <alignment wrapText="1"/>
    </xf>
    <xf numFmtId="0" fontId="99" fillId="17" borderId="0" xfId="0" applyFont="1" applyFill="1" applyBorder="1" applyAlignment="1">
      <alignment vertical="center" wrapText="1"/>
    </xf>
    <xf numFmtId="0" fontId="105" fillId="17" borderId="27" xfId="0" applyFont="1" applyFill="1" applyBorder="1" applyAlignment="1">
      <alignment horizontal="center" vertical="center" wrapText="1"/>
    </xf>
    <xf numFmtId="0" fontId="109" fillId="7" borderId="27" xfId="0" applyFont="1" applyFill="1" applyBorder="1" applyAlignment="1">
      <alignment horizontal="center" vertical="center" wrapText="1"/>
    </xf>
    <xf numFmtId="0" fontId="107" fillId="6" borderId="27" xfId="0" applyFont="1" applyFill="1" applyBorder="1" applyAlignment="1">
      <alignment horizontal="center" vertical="center" wrapText="1"/>
    </xf>
    <xf numFmtId="0" fontId="105" fillId="6" borderId="27" xfId="0" applyFont="1" applyFill="1" applyBorder="1" applyAlignment="1">
      <alignment horizontal="center" vertical="center" wrapText="1"/>
    </xf>
    <xf numFmtId="0" fontId="107" fillId="17" borderId="27" xfId="0" applyFont="1" applyFill="1" applyBorder="1" applyAlignment="1">
      <alignment horizontal="center" vertical="center" wrapText="1"/>
    </xf>
    <xf numFmtId="0" fontId="110" fillId="0" borderId="27" xfId="0" applyFont="1" applyBorder="1" applyAlignment="1">
      <alignment horizontal="center" vertical="center" wrapText="1"/>
    </xf>
    <xf numFmtId="0" fontId="106" fillId="0" borderId="50" xfId="0" applyFont="1" applyBorder="1" applyAlignment="1">
      <alignment vertical="center" wrapText="1"/>
    </xf>
    <xf numFmtId="4" fontId="108" fillId="0" borderId="27" xfId="2" applyNumberFormat="1" applyFont="1" applyBorder="1" applyAlignment="1">
      <alignment wrapText="1"/>
    </xf>
    <xf numFmtId="0" fontId="99" fillId="7" borderId="27" xfId="0" applyFont="1" applyFill="1" applyBorder="1" applyAlignment="1">
      <alignment wrapText="1"/>
    </xf>
    <xf numFmtId="0" fontId="111" fillId="0" borderId="27" xfId="0" applyFont="1" applyBorder="1" applyAlignment="1">
      <alignment horizontal="center" vertical="center" wrapText="1"/>
    </xf>
    <xf numFmtId="0" fontId="101" fillId="7" borderId="27" xfId="0" applyFont="1" applyFill="1" applyBorder="1" applyAlignment="1">
      <alignment horizontal="center" vertical="center" wrapText="1"/>
    </xf>
    <xf numFmtId="0" fontId="112" fillId="7" borderId="27" xfId="0" applyFont="1" applyFill="1" applyBorder="1" applyAlignment="1">
      <alignment horizontal="center" vertical="center" wrapText="1"/>
    </xf>
    <xf numFmtId="0" fontId="100" fillId="7" borderId="27" xfId="0" applyFont="1" applyFill="1" applyBorder="1" applyAlignment="1">
      <alignment horizontal="center" vertical="center" wrapText="1"/>
    </xf>
    <xf numFmtId="0" fontId="101" fillId="6" borderId="27" xfId="0" applyFont="1" applyFill="1" applyBorder="1" applyAlignment="1">
      <alignment horizontal="center" vertical="center" wrapText="1"/>
    </xf>
    <xf numFmtId="0" fontId="100" fillId="6" borderId="27" xfId="0" applyFont="1" applyFill="1" applyBorder="1" applyAlignment="1">
      <alignment horizontal="center" vertical="center" wrapText="1"/>
    </xf>
    <xf numFmtId="0" fontId="99" fillId="7" borderId="27" xfId="0" applyFont="1" applyFill="1" applyBorder="1" applyAlignment="1">
      <alignment horizontal="center" vertical="center" wrapText="1"/>
    </xf>
    <xf numFmtId="0" fontId="99" fillId="6" borderId="27" xfId="0" applyFont="1" applyFill="1" applyBorder="1" applyAlignment="1">
      <alignment horizontal="center" vertical="center" wrapText="1"/>
    </xf>
    <xf numFmtId="0" fontId="99" fillId="0" borderId="14" xfId="0" applyFont="1" applyBorder="1" applyAlignment="1">
      <alignment horizontal="center" wrapText="1"/>
    </xf>
    <xf numFmtId="0" fontId="111" fillId="0" borderId="15" xfId="0" applyFont="1" applyBorder="1" applyAlignment="1">
      <alignment horizontal="left" wrapText="1"/>
    </xf>
    <xf numFmtId="0" fontId="111" fillId="0" borderId="15" xfId="0" applyFont="1" applyBorder="1" applyAlignment="1">
      <alignment wrapText="1"/>
    </xf>
    <xf numFmtId="0" fontId="99" fillId="0" borderId="15" xfId="0" applyFont="1" applyBorder="1" applyAlignment="1">
      <alignment horizontal="center" vertical="center" wrapText="1"/>
    </xf>
    <xf numFmtId="0" fontId="111" fillId="7" borderId="15" xfId="0" applyFont="1" applyFill="1" applyBorder="1" applyAlignment="1">
      <alignment horizontal="center" vertical="center" wrapText="1"/>
    </xf>
    <xf numFmtId="0" fontId="111" fillId="0" borderId="15" xfId="0" applyFont="1" applyBorder="1" applyAlignment="1">
      <alignment horizontal="center" vertical="center" wrapText="1"/>
    </xf>
    <xf numFmtId="0" fontId="106" fillId="0" borderId="45" xfId="0" applyFont="1" applyBorder="1" applyAlignment="1">
      <alignment vertical="center" wrapText="1"/>
    </xf>
    <xf numFmtId="0" fontId="106" fillId="0" borderId="65" xfId="0" applyFont="1" applyBorder="1" applyAlignment="1">
      <alignment vertical="center" wrapText="1"/>
    </xf>
    <xf numFmtId="1" fontId="101" fillId="0" borderId="24" xfId="2" applyNumberFormat="1" applyFont="1" applyBorder="1" applyAlignment="1">
      <alignment horizontal="left" wrapText="1"/>
    </xf>
    <xf numFmtId="4" fontId="101" fillId="0" borderId="24" xfId="2" applyNumberFormat="1" applyFont="1" applyBorder="1" applyAlignment="1">
      <alignment horizontal="left" wrapText="1"/>
    </xf>
    <xf numFmtId="0" fontId="111" fillId="0" borderId="24" xfId="0" applyFont="1" applyBorder="1" applyAlignment="1">
      <alignment vertical="center" wrapText="1"/>
    </xf>
    <xf numFmtId="0" fontId="107" fillId="6" borderId="24" xfId="0" applyFont="1" applyFill="1" applyBorder="1" applyAlignment="1">
      <alignment horizontal="center" vertical="center" wrapText="1"/>
    </xf>
    <xf numFmtId="0" fontId="105" fillId="0" borderId="27" xfId="0" applyFont="1" applyBorder="1" applyAlignment="1">
      <alignment vertical="center"/>
    </xf>
    <xf numFmtId="0" fontId="100" fillId="0" borderId="60" xfId="0" applyFont="1" applyBorder="1" applyAlignment="1">
      <alignment vertical="center" wrapText="1"/>
    </xf>
    <xf numFmtId="1" fontId="101" fillId="0" borderId="27" xfId="2" applyNumberFormat="1" applyFont="1" applyBorder="1" applyAlignment="1">
      <alignment horizontal="left"/>
    </xf>
    <xf numFmtId="4" fontId="101" fillId="0" borderId="50" xfId="2" applyNumberFormat="1" applyFont="1" applyBorder="1"/>
    <xf numFmtId="0" fontId="111" fillId="0" borderId="27" xfId="0" applyFont="1" applyBorder="1" applyAlignment="1">
      <alignment vertical="center" wrapText="1"/>
    </xf>
    <xf numFmtId="4" fontId="101" fillId="0" borderId="27" xfId="2" applyNumberFormat="1" applyFont="1" applyBorder="1" applyAlignment="1">
      <alignment horizontal="left" wrapText="1"/>
    </xf>
    <xf numFmtId="0" fontId="101" fillId="0" borderId="27" xfId="1" applyFont="1" applyBorder="1" applyAlignment="1">
      <alignment horizontal="left" vertical="center"/>
    </xf>
    <xf numFmtId="0" fontId="105" fillId="6" borderId="24" xfId="0" applyFont="1" applyFill="1" applyBorder="1" applyAlignment="1">
      <alignment horizontal="center" vertical="center" wrapText="1"/>
    </xf>
    <xf numFmtId="0" fontId="113" fillId="6" borderId="27" xfId="0" applyFont="1" applyFill="1" applyBorder="1" applyAlignment="1">
      <alignment horizontal="center" vertical="center" wrapText="1"/>
    </xf>
    <xf numFmtId="0" fontId="110" fillId="0" borderId="27" xfId="0" applyFont="1" applyBorder="1" applyAlignment="1">
      <alignment horizontal="center" wrapText="1"/>
    </xf>
    <xf numFmtId="0" fontId="106" fillId="0" borderId="48" xfId="0" applyFont="1" applyBorder="1" applyAlignment="1">
      <alignment vertical="center" wrapText="1"/>
    </xf>
    <xf numFmtId="0" fontId="111" fillId="0" borderId="49" xfId="0" applyFont="1" applyBorder="1" applyAlignment="1">
      <alignment horizontal="center" wrapText="1"/>
    </xf>
    <xf numFmtId="0" fontId="100" fillId="7" borderId="27" xfId="0" applyFont="1" applyFill="1" applyBorder="1" applyAlignment="1">
      <alignment vertical="center" wrapText="1"/>
    </xf>
    <xf numFmtId="0" fontId="101" fillId="7" borderId="27" xfId="0" applyFont="1" applyFill="1" applyBorder="1" applyAlignment="1">
      <alignment vertical="center" wrapText="1"/>
    </xf>
    <xf numFmtId="0" fontId="114" fillId="7" borderId="27" xfId="0" applyFont="1" applyFill="1" applyBorder="1" applyAlignment="1">
      <alignment vertical="center" wrapText="1"/>
    </xf>
    <xf numFmtId="0" fontId="114" fillId="6" borderId="27" xfId="0" applyFont="1" applyFill="1" applyBorder="1" applyAlignment="1">
      <alignment vertical="center" wrapText="1"/>
    </xf>
    <xf numFmtId="0" fontId="101" fillId="6" borderId="27" xfId="0" applyFont="1" applyFill="1" applyBorder="1" applyAlignment="1">
      <alignment vertical="center" wrapText="1"/>
    </xf>
    <xf numFmtId="0" fontId="111" fillId="0" borderId="27" xfId="0" applyFont="1" applyBorder="1" applyAlignment="1">
      <alignment horizontal="left" wrapText="1"/>
    </xf>
    <xf numFmtId="0" fontId="99" fillId="0" borderId="27" xfId="0" applyFont="1" applyBorder="1" applyAlignment="1">
      <alignment horizontal="center" vertical="center" wrapText="1"/>
    </xf>
    <xf numFmtId="0" fontId="111" fillId="7" borderId="27" xfId="0" applyFont="1" applyFill="1" applyBorder="1" applyAlignment="1">
      <alignment horizontal="center" vertical="center" wrapText="1"/>
    </xf>
    <xf numFmtId="0" fontId="111" fillId="0" borderId="27" xfId="0" applyFont="1" applyBorder="1" applyAlignment="1">
      <alignment horizontal="center" wrapText="1"/>
    </xf>
    <xf numFmtId="0" fontId="115" fillId="0" borderId="51" xfId="0" applyFont="1" applyBorder="1" applyAlignment="1">
      <alignment vertical="center" wrapText="1"/>
    </xf>
    <xf numFmtId="0" fontId="111" fillId="0" borderId="11" xfId="0" applyFont="1" applyBorder="1" applyAlignment="1">
      <alignment horizontal="center"/>
    </xf>
    <xf numFmtId="0" fontId="111" fillId="0" borderId="0" xfId="0" applyFont="1" applyBorder="1" applyAlignment="1">
      <alignment horizontal="left"/>
    </xf>
    <xf numFmtId="0" fontId="111" fillId="0" borderId="0" xfId="0" applyFont="1" applyBorder="1"/>
    <xf numFmtId="0" fontId="111" fillId="7" borderId="0" xfId="0" applyFont="1" applyFill="1" applyBorder="1"/>
    <xf numFmtId="0" fontId="99" fillId="0" borderId="0" xfId="0" applyFont="1" applyBorder="1"/>
    <xf numFmtId="0" fontId="111" fillId="0" borderId="0" xfId="0" applyFont="1" applyBorder="1" applyAlignment="1">
      <alignment horizontal="center"/>
    </xf>
    <xf numFmtId="0" fontId="115" fillId="0" borderId="54" xfId="0" applyFont="1" applyBorder="1" applyAlignment="1">
      <alignment vertical="center" wrapText="1"/>
    </xf>
    <xf numFmtId="0" fontId="115" fillId="0" borderId="11" xfId="0" applyFont="1" applyBorder="1" applyAlignment="1">
      <alignment horizontal="center"/>
    </xf>
    <xf numFmtId="0" fontId="116" fillId="17" borderId="27" xfId="0" applyFont="1" applyFill="1" applyBorder="1"/>
    <xf numFmtId="0" fontId="115" fillId="17" borderId="27" xfId="0" applyFont="1" applyFill="1" applyBorder="1"/>
    <xf numFmtId="0" fontId="115" fillId="0" borderId="0" xfId="0" applyFont="1" applyBorder="1"/>
    <xf numFmtId="0" fontId="106" fillId="0" borderId="0" xfId="0" applyFont="1" applyBorder="1" applyAlignment="1">
      <alignment horizontal="left"/>
    </xf>
    <xf numFmtId="0" fontId="115" fillId="0" borderId="0" xfId="0" applyFont="1" applyBorder="1" applyAlignment="1">
      <alignment horizontal="center"/>
    </xf>
    <xf numFmtId="0" fontId="115" fillId="7" borderId="0" xfId="0" applyFont="1" applyFill="1" applyBorder="1" applyAlignment="1">
      <alignment horizontal="left"/>
    </xf>
    <xf numFmtId="0" fontId="115" fillId="7" borderId="0" xfId="0" applyFont="1" applyFill="1" applyBorder="1"/>
    <xf numFmtId="0" fontId="106" fillId="0" borderId="0" xfId="0" applyFont="1" applyBorder="1"/>
    <xf numFmtId="0" fontId="115" fillId="0" borderId="0" xfId="0" applyFont="1" applyBorder="1" applyAlignment="1">
      <alignment horizontal="left"/>
    </xf>
    <xf numFmtId="0" fontId="116" fillId="0" borderId="0" xfId="0" applyFont="1" applyBorder="1"/>
    <xf numFmtId="0" fontId="116" fillId="0" borderId="0" xfId="0" applyFont="1" applyBorder="1" applyAlignment="1">
      <alignment horizontal="left"/>
    </xf>
    <xf numFmtId="0" fontId="115" fillId="0" borderId="0" xfId="0" applyFont="1"/>
    <xf numFmtId="0" fontId="116" fillId="0" borderId="11" xfId="0" applyFont="1" applyBorder="1"/>
    <xf numFmtId="0" fontId="116" fillId="0" borderId="0" xfId="0" applyFont="1" applyBorder="1" applyAlignment="1">
      <alignment horizontal="center"/>
    </xf>
    <xf numFmtId="0" fontId="116" fillId="0" borderId="54" xfId="0" applyFont="1" applyBorder="1" applyAlignment="1">
      <alignment vertical="center" wrapText="1"/>
    </xf>
    <xf numFmtId="0" fontId="117" fillId="0" borderId="52" xfId="0" applyFont="1" applyBorder="1" applyAlignment="1">
      <alignment horizontal="center"/>
    </xf>
    <xf numFmtId="0" fontId="117" fillId="0" borderId="56" xfId="0" applyFont="1" applyBorder="1" applyAlignment="1">
      <alignment horizontal="left"/>
    </xf>
    <xf numFmtId="0" fontId="117" fillId="0" borderId="56" xfId="0" applyFont="1" applyBorder="1"/>
    <xf numFmtId="0" fontId="117" fillId="0" borderId="56" xfId="0" applyFont="1" applyBorder="1" applyAlignment="1">
      <alignment horizontal="center"/>
    </xf>
    <xf numFmtId="0" fontId="0" fillId="0" borderId="46" xfId="0" applyBorder="1" applyAlignment="1">
      <alignment vertical="center" wrapText="1"/>
    </xf>
    <xf numFmtId="0" fontId="88" fillId="7" borderId="24" xfId="0" applyFont="1" applyFill="1" applyBorder="1" applyAlignment="1">
      <alignment horizontal="center" vertical="center" wrapText="1"/>
    </xf>
    <xf numFmtId="0" fontId="65" fillId="7" borderId="15" xfId="0" applyFont="1" applyFill="1" applyBorder="1" applyAlignment="1">
      <alignment horizontal="left" vertical="center" wrapText="1"/>
    </xf>
    <xf numFmtId="0" fontId="89" fillId="8" borderId="15" xfId="0" applyFont="1" applyFill="1" applyBorder="1" applyAlignment="1">
      <alignment horizontal="left" wrapText="1"/>
    </xf>
    <xf numFmtId="0" fontId="31" fillId="0" borderId="15" xfId="0" applyFont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 wrapText="1"/>
    </xf>
    <xf numFmtId="0" fontId="88" fillId="5" borderId="27" xfId="0" applyFont="1" applyFill="1" applyBorder="1" applyAlignment="1">
      <alignment horizontal="left"/>
    </xf>
    <xf numFmtId="0" fontId="87" fillId="9" borderId="27" xfId="0" applyFont="1" applyFill="1" applyBorder="1" applyAlignment="1">
      <alignment horizontal="left"/>
    </xf>
    <xf numFmtId="0" fontId="90" fillId="5" borderId="27" xfId="0" applyFont="1" applyFill="1" applyBorder="1" applyAlignment="1">
      <alignment horizontal="left"/>
    </xf>
    <xf numFmtId="0" fontId="87" fillId="5" borderId="27" xfId="0" applyFont="1" applyFill="1" applyBorder="1" applyAlignment="1">
      <alignment horizontal="left"/>
    </xf>
    <xf numFmtId="0" fontId="89" fillId="9" borderId="27" xfId="0" applyFont="1" applyFill="1" applyBorder="1" applyAlignment="1">
      <alignment horizontal="left"/>
    </xf>
    <xf numFmtId="0" fontId="90" fillId="9" borderId="27" xfId="0" applyFont="1" applyFill="1" applyBorder="1" applyAlignment="1">
      <alignment horizontal="left"/>
    </xf>
    <xf numFmtId="0" fontId="23" fillId="7" borderId="27" xfId="0" applyFont="1" applyFill="1" applyBorder="1" applyAlignment="1">
      <alignment horizontal="center" wrapText="1"/>
    </xf>
    <xf numFmtId="0" fontId="26" fillId="0" borderId="27" xfId="0" applyFont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0" fontId="118" fillId="7" borderId="0" xfId="0" applyFont="1" applyFill="1" applyBorder="1"/>
    <xf numFmtId="0" fontId="119" fillId="0" borderId="0" xfId="0" applyFont="1"/>
    <xf numFmtId="1" fontId="31" fillId="7" borderId="7" xfId="0" applyNumberFormat="1" applyFont="1" applyFill="1" applyBorder="1" applyAlignment="1">
      <alignment horizontal="left"/>
    </xf>
    <xf numFmtId="1" fontId="23" fillId="0" borderId="27" xfId="2" applyNumberFormat="1" applyFont="1" applyBorder="1" applyAlignment="1">
      <alignment horizontal="left"/>
    </xf>
    <xf numFmtId="1" fontId="31" fillId="0" borderId="27" xfId="0" applyNumberFormat="1" applyFont="1" applyBorder="1" applyAlignment="1">
      <alignment horizontal="left"/>
    </xf>
    <xf numFmtId="1" fontId="31" fillId="7" borderId="27" xfId="0" applyNumberFormat="1" applyFont="1" applyFill="1" applyBorder="1" applyAlignment="1">
      <alignment horizontal="left"/>
    </xf>
    <xf numFmtId="0" fontId="93" fillId="0" borderId="51" xfId="0" applyFont="1" applyBorder="1" applyAlignment="1">
      <alignment horizontal="left" vertical="center" wrapText="1"/>
    </xf>
    <xf numFmtId="0" fontId="11" fillId="7" borderId="8" xfId="1" applyFont="1" applyFill="1" applyBorder="1" applyAlignment="1">
      <alignment vertical="center"/>
    </xf>
    <xf numFmtId="4" fontId="11" fillId="0" borderId="50" xfId="2" applyNumberFormat="1" applyFont="1" applyBorder="1"/>
    <xf numFmtId="0" fontId="20" fillId="0" borderId="50" xfId="0" applyFont="1" applyBorder="1"/>
    <xf numFmtId="0" fontId="20" fillId="7" borderId="50" xfId="0" applyFont="1" applyFill="1" applyBorder="1" applyAlignment="1">
      <alignment horizontal="left"/>
    </xf>
    <xf numFmtId="4" fontId="11" fillId="0" borderId="15" xfId="2" applyNumberFormat="1" applyFont="1" applyBorder="1"/>
    <xf numFmtId="0" fontId="7" fillId="0" borderId="0" xfId="0" applyFont="1" applyFill="1" applyBorder="1" applyAlignment="1">
      <alignment horizontal="center"/>
    </xf>
    <xf numFmtId="0" fontId="7" fillId="0" borderId="61" xfId="0" applyFont="1" applyFill="1" applyBorder="1" applyAlignment="1">
      <alignment horizontal="center" vertical="center"/>
    </xf>
    <xf numFmtId="0" fontId="20" fillId="7" borderId="44" xfId="0" applyFont="1" applyFill="1" applyBorder="1" applyAlignment="1"/>
    <xf numFmtId="0" fontId="21" fillId="7" borderId="15" xfId="0" applyFont="1" applyFill="1" applyBorder="1" applyAlignment="1"/>
    <xf numFmtId="0" fontId="12" fillId="7" borderId="15" xfId="0" applyFont="1" applyFill="1" applyBorder="1" applyAlignment="1"/>
    <xf numFmtId="0" fontId="12" fillId="7" borderId="16" xfId="0" applyFont="1" applyFill="1" applyBorder="1" applyAlignment="1"/>
    <xf numFmtId="0" fontId="26" fillId="7" borderId="13" xfId="0" applyFont="1" applyFill="1" applyBorder="1" applyAlignment="1"/>
    <xf numFmtId="0" fontId="26" fillId="0" borderId="13" xfId="0" applyFont="1" applyBorder="1"/>
    <xf numFmtId="0" fontId="67" fillId="8" borderId="24" xfId="0" applyFont="1" applyFill="1" applyBorder="1" applyAlignment="1">
      <alignment horizontal="left"/>
    </xf>
    <xf numFmtId="0" fontId="88" fillId="6" borderId="7" xfId="0" applyFont="1" applyFill="1" applyBorder="1" applyAlignment="1">
      <alignment horizontal="left" wrapText="1"/>
    </xf>
    <xf numFmtId="0" fontId="88" fillId="9" borderId="27" xfId="0" applyFont="1" applyFill="1" applyBorder="1" applyAlignment="1">
      <alignment horizontal="center" vertical="center"/>
    </xf>
    <xf numFmtId="1" fontId="20" fillId="7" borderId="15" xfId="0" applyNumberFormat="1" applyFont="1" applyFill="1" applyBorder="1" applyAlignment="1">
      <alignment horizontal="left"/>
    </xf>
    <xf numFmtId="1" fontId="13" fillId="5" borderId="27" xfId="0" applyNumberFormat="1" applyFont="1" applyFill="1" applyBorder="1" applyAlignment="1">
      <alignment horizontal="center" vertical="center"/>
    </xf>
    <xf numFmtId="4" fontId="11" fillId="0" borderId="27" xfId="2" applyNumberFormat="1" applyFont="1" applyBorder="1" applyAlignment="1">
      <alignment horizontal="left" vertical="center" wrapText="1"/>
    </xf>
    <xf numFmtId="1" fontId="7" fillId="5" borderId="0" xfId="0" applyNumberFormat="1" applyFont="1" applyFill="1" applyBorder="1" applyAlignment="1">
      <alignment horizontal="center" vertical="center"/>
    </xf>
    <xf numFmtId="0" fontId="12" fillId="0" borderId="50" xfId="0" applyFont="1" applyBorder="1" applyAlignment="1">
      <alignment horizontal="left" vertical="center" wrapText="1"/>
    </xf>
    <xf numFmtId="0" fontId="121" fillId="0" borderId="0" xfId="0" applyFont="1" applyFill="1" applyBorder="1"/>
    <xf numFmtId="0" fontId="12" fillId="7" borderId="30" xfId="0" applyFont="1" applyFill="1" applyBorder="1" applyAlignment="1"/>
    <xf numFmtId="0" fontId="122" fillId="0" borderId="0" xfId="0" applyFont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10" borderId="42" xfId="0" applyFont="1" applyFill="1" applyBorder="1" applyAlignment="1">
      <alignment horizontal="center" vertical="center" wrapText="1"/>
    </xf>
    <xf numFmtId="0" fontId="7" fillId="10" borderId="46" xfId="0" applyFont="1" applyFill="1" applyBorder="1" applyAlignment="1">
      <alignment horizontal="center" vertical="center" wrapText="1"/>
    </xf>
    <xf numFmtId="0" fontId="23" fillId="13" borderId="0" xfId="1" applyFont="1" applyFill="1" applyBorder="1" applyAlignment="1">
      <alignment horizontal="center" vertical="center" wrapText="1"/>
    </xf>
    <xf numFmtId="0" fontId="23" fillId="13" borderId="19" xfId="1" applyFont="1" applyFill="1" applyBorder="1" applyAlignment="1">
      <alignment horizontal="center" vertical="center" wrapText="1"/>
    </xf>
    <xf numFmtId="0" fontId="23" fillId="13" borderId="26" xfId="1" applyFont="1" applyFill="1" applyBorder="1" applyAlignment="1">
      <alignment horizontal="center" vertical="center" wrapText="1"/>
    </xf>
    <xf numFmtId="0" fontId="23" fillId="13" borderId="57" xfId="1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10" borderId="59" xfId="0" applyFont="1" applyFill="1" applyBorder="1" applyAlignment="1">
      <alignment horizontal="center" vertical="center" wrapText="1"/>
    </xf>
    <xf numFmtId="0" fontId="7" fillId="10" borderId="6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9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4" fontId="101" fillId="23" borderId="17" xfId="2" applyNumberFormat="1" applyFont="1" applyFill="1" applyBorder="1" applyAlignment="1">
      <alignment horizontal="left" wrapText="1" indent="28"/>
    </xf>
    <xf numFmtId="4" fontId="101" fillId="23" borderId="19" xfId="2" applyNumberFormat="1" applyFont="1" applyFill="1" applyBorder="1" applyAlignment="1">
      <alignment horizontal="left" wrapText="1" indent="28"/>
    </xf>
    <xf numFmtId="4" fontId="101" fillId="23" borderId="64" xfId="2" applyNumberFormat="1" applyFont="1" applyFill="1" applyBorder="1" applyAlignment="1">
      <alignment horizontal="left" wrapText="1" indent="28"/>
    </xf>
    <xf numFmtId="0" fontId="116" fillId="0" borderId="0" xfId="0" applyFont="1" applyBorder="1" applyAlignment="1">
      <alignment horizontal="left" wrapText="1"/>
    </xf>
    <xf numFmtId="0" fontId="116" fillId="0" borderId="54" xfId="0" applyFont="1" applyBorder="1" applyAlignment="1">
      <alignment horizontal="left" wrapText="1"/>
    </xf>
    <xf numFmtId="0" fontId="98" fillId="19" borderId="41" xfId="0" applyFont="1" applyFill="1" applyBorder="1" applyAlignment="1">
      <alignment horizontal="center" vertical="center" wrapText="1"/>
    </xf>
    <xf numFmtId="0" fontId="98" fillId="19" borderId="62" xfId="0" applyFont="1" applyFill="1" applyBorder="1" applyAlignment="1">
      <alignment horizontal="center" vertical="center" wrapText="1"/>
    </xf>
    <xf numFmtId="0" fontId="98" fillId="19" borderId="47" xfId="0" applyFont="1" applyFill="1" applyBorder="1" applyAlignment="1">
      <alignment horizontal="left" vertical="center" wrapText="1"/>
    </xf>
    <xf numFmtId="0" fontId="98" fillId="19" borderId="39" xfId="0" applyFont="1" applyFill="1" applyBorder="1" applyAlignment="1">
      <alignment horizontal="left" vertical="center" wrapText="1"/>
    </xf>
    <xf numFmtId="0" fontId="98" fillId="19" borderId="47" xfId="0" applyFont="1" applyFill="1" applyBorder="1" applyAlignment="1">
      <alignment horizontal="center" vertical="center" wrapText="1"/>
    </xf>
    <xf numFmtId="0" fontId="98" fillId="19" borderId="39" xfId="0" applyFont="1" applyFill="1" applyBorder="1" applyAlignment="1">
      <alignment horizontal="center" vertical="center" wrapText="1"/>
    </xf>
    <xf numFmtId="0" fontId="101" fillId="19" borderId="9" xfId="0" applyFont="1" applyFill="1" applyBorder="1" applyAlignment="1">
      <alignment horizontal="center" vertical="center" wrapText="1"/>
    </xf>
    <xf numFmtId="0" fontId="101" fillId="19" borderId="10" xfId="0" applyFont="1" applyFill="1" applyBorder="1" applyAlignment="1">
      <alignment horizontal="center" vertical="center" wrapText="1"/>
    </xf>
    <xf numFmtId="0" fontId="101" fillId="19" borderId="37" xfId="0" applyFont="1" applyFill="1" applyBorder="1" applyAlignment="1">
      <alignment horizontal="center" vertical="center" wrapText="1"/>
    </xf>
    <xf numFmtId="0" fontId="102" fillId="10" borderId="42" xfId="0" applyFont="1" applyFill="1" applyBorder="1" applyAlignment="1">
      <alignment horizontal="center" vertical="center" wrapText="1"/>
    </xf>
    <xf numFmtId="0" fontId="102" fillId="10" borderId="54" xfId="0" applyFont="1" applyFill="1" applyBorder="1" applyAlignment="1">
      <alignment horizontal="center" vertical="center" wrapText="1"/>
    </xf>
    <xf numFmtId="0" fontId="98" fillId="22" borderId="17" xfId="0" applyFont="1" applyFill="1" applyBorder="1" applyAlignment="1">
      <alignment horizontal="left" vertical="center" wrapText="1" indent="24"/>
    </xf>
    <xf numFmtId="0" fontId="98" fillId="22" borderId="19" xfId="0" applyFont="1" applyFill="1" applyBorder="1" applyAlignment="1">
      <alignment horizontal="left" vertical="center" wrapText="1" indent="24"/>
    </xf>
    <xf numFmtId="0" fontId="98" fillId="22" borderId="57" xfId="0" applyFont="1" applyFill="1" applyBorder="1" applyAlignment="1">
      <alignment horizontal="left" vertical="center" wrapText="1" indent="24"/>
    </xf>
    <xf numFmtId="0" fontId="96" fillId="0" borderId="0" xfId="0" applyFont="1" applyAlignment="1">
      <alignment horizontal="center"/>
    </xf>
    <xf numFmtId="0" fontId="96" fillId="0" borderId="1" xfId="0" applyFont="1" applyBorder="1" applyAlignment="1">
      <alignment horizontal="center"/>
    </xf>
    <xf numFmtId="0" fontId="96" fillId="0" borderId="2" xfId="0" applyFont="1" applyBorder="1" applyAlignment="1">
      <alignment horizontal="center"/>
    </xf>
    <xf numFmtId="0" fontId="65" fillId="7" borderId="54" xfId="0" applyFont="1" applyFill="1" applyBorder="1" applyAlignment="1">
      <alignment horizontal="left" vertical="center" wrapText="1"/>
    </xf>
    <xf numFmtId="0" fontId="26" fillId="7" borderId="27" xfId="0" applyFont="1" applyFill="1" applyBorder="1" applyAlignment="1">
      <alignment horizontal="left"/>
    </xf>
    <xf numFmtId="0" fontId="65" fillId="24" borderId="16" xfId="0" applyFont="1" applyFill="1" applyBorder="1" applyAlignment="1">
      <alignment horizontal="left"/>
    </xf>
    <xf numFmtId="0" fontId="65" fillId="24" borderId="15" xfId="0" applyFont="1" applyFill="1" applyBorder="1" applyAlignment="1">
      <alignment horizontal="left"/>
    </xf>
    <xf numFmtId="0" fontId="65" fillId="24" borderId="44" xfId="0" applyFont="1" applyFill="1" applyBorder="1" applyAlignment="1">
      <alignment horizontal="left"/>
    </xf>
    <xf numFmtId="0" fontId="65" fillId="24" borderId="23" xfId="0" applyFont="1" applyFill="1" applyBorder="1" applyAlignment="1">
      <alignment horizontal="left"/>
    </xf>
  </cellXfs>
  <cellStyles count="3">
    <cellStyle name="Normal" xfId="0" builtinId="0"/>
    <cellStyle name="Normal 2" xfId="2"/>
    <cellStyle name="Normal 6" xfId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678494</xdr:colOff>
      <xdr:row>0</xdr:row>
      <xdr:rowOff>0</xdr:rowOff>
    </xdr:from>
    <xdr:to>
      <xdr:col>4</xdr:col>
      <xdr:colOff>127000</xdr:colOff>
      <xdr:row>6</xdr:row>
      <xdr:rowOff>186878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241" b="17534"/>
        <a:stretch/>
      </xdr:blipFill>
      <xdr:spPr>
        <a:xfrm>
          <a:off x="1992944" y="0"/>
          <a:ext cx="2807656" cy="1663253"/>
        </a:xfrm>
        <a:prstGeom prst="rect">
          <a:avLst/>
        </a:prstGeom>
      </xdr:spPr>
    </xdr:pic>
    <xdr:clientData/>
  </xdr:twoCellAnchor>
  <xdr:twoCellAnchor>
    <xdr:from>
      <xdr:col>39</xdr:col>
      <xdr:colOff>900308</xdr:colOff>
      <xdr:row>35</xdr:row>
      <xdr:rowOff>130480</xdr:rowOff>
    </xdr:from>
    <xdr:to>
      <xdr:col>39</xdr:col>
      <xdr:colOff>1161267</xdr:colOff>
      <xdr:row>37</xdr:row>
      <xdr:rowOff>13048</xdr:rowOff>
    </xdr:to>
    <xdr:sp macro="" textlink="">
      <xdr:nvSpPr>
        <xdr:cNvPr id="3" name="Elipse 2"/>
        <xdr:cNvSpPr/>
      </xdr:nvSpPr>
      <xdr:spPr>
        <a:xfrm>
          <a:off x="17321408" y="9855505"/>
          <a:ext cx="260959" cy="339768"/>
        </a:xfrm>
        <a:prstGeom prst="ellipse">
          <a:avLst/>
        </a:prstGeom>
        <a:ln w="38100"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861164</xdr:colOff>
      <xdr:row>40</xdr:row>
      <xdr:rowOff>143526</xdr:rowOff>
    </xdr:from>
    <xdr:to>
      <xdr:col>39</xdr:col>
      <xdr:colOff>1239556</xdr:colOff>
      <xdr:row>42</xdr:row>
      <xdr:rowOff>13048</xdr:rowOff>
    </xdr:to>
    <xdr:sp macro="" textlink="">
      <xdr:nvSpPr>
        <xdr:cNvPr id="4" name="Elipse 3"/>
        <xdr:cNvSpPr/>
      </xdr:nvSpPr>
      <xdr:spPr>
        <a:xfrm>
          <a:off x="17282264" y="10887726"/>
          <a:ext cx="378392" cy="317197"/>
        </a:xfrm>
        <a:prstGeom prst="ellipse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ysClr val="windowText" lastClr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874212</xdr:colOff>
      <xdr:row>39</xdr:row>
      <xdr:rowOff>26096</xdr:rowOff>
    </xdr:from>
    <xdr:to>
      <xdr:col>39</xdr:col>
      <xdr:colOff>1226508</xdr:colOff>
      <xdr:row>40</xdr:row>
      <xdr:rowOff>117432</xdr:rowOff>
    </xdr:to>
    <xdr:sp macro="" textlink="">
      <xdr:nvSpPr>
        <xdr:cNvPr id="5" name="Elipse 4"/>
        <xdr:cNvSpPr/>
      </xdr:nvSpPr>
      <xdr:spPr>
        <a:xfrm>
          <a:off x="17295312" y="10579796"/>
          <a:ext cx="352296" cy="281836"/>
        </a:xfrm>
        <a:prstGeom prst="ellipse">
          <a:avLst/>
        </a:prstGeom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ysClr val="windowText" lastClr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861163</xdr:colOff>
      <xdr:row>37</xdr:row>
      <xdr:rowOff>65233</xdr:rowOff>
    </xdr:from>
    <xdr:to>
      <xdr:col>39</xdr:col>
      <xdr:colOff>1174312</xdr:colOff>
      <xdr:row>38</xdr:row>
      <xdr:rowOff>130478</xdr:rowOff>
    </xdr:to>
    <xdr:sp macro="" textlink="">
      <xdr:nvSpPr>
        <xdr:cNvPr id="6" name="Elipse 5"/>
        <xdr:cNvSpPr/>
      </xdr:nvSpPr>
      <xdr:spPr>
        <a:xfrm flipH="1" flipV="1">
          <a:off x="17282263" y="10247458"/>
          <a:ext cx="313149" cy="255745"/>
        </a:xfrm>
        <a:prstGeom prst="ellipse">
          <a:avLst/>
        </a:prstGeom>
        <a:solidFill>
          <a:sysClr val="window" lastClr="FFFFFF"/>
        </a:solidFill>
        <a:ln w="3810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1100" b="0" i="0" u="none" strike="noStrike" kern="0" cap="none" spc="0" normalizeH="0" baseline="0" noProof="0">
            <a:ln>
              <a:solidFill>
                <a:srgbClr val="FF0000"/>
              </a:solidFill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38</xdr:col>
      <xdr:colOff>52192</xdr:colOff>
      <xdr:row>1</xdr:row>
      <xdr:rowOff>104383</xdr:rowOff>
    </xdr:from>
    <xdr:to>
      <xdr:col>39</xdr:col>
      <xdr:colOff>1513560</xdr:colOff>
      <xdr:row>7</xdr:row>
      <xdr:rowOff>104384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78017" y="294883"/>
          <a:ext cx="1756643" cy="1638301"/>
        </a:xfrm>
        <a:prstGeom prst="rect">
          <a:avLst/>
        </a:prstGeom>
      </xdr:spPr>
    </xdr:pic>
    <xdr:clientData/>
  </xdr:twoCellAnchor>
  <xdr:twoCellAnchor>
    <xdr:from>
      <xdr:col>39</xdr:col>
      <xdr:colOff>91336</xdr:colOff>
      <xdr:row>21</xdr:row>
      <xdr:rowOff>269875</xdr:rowOff>
    </xdr:from>
    <xdr:to>
      <xdr:col>39</xdr:col>
      <xdr:colOff>698500</xdr:colOff>
      <xdr:row>21</xdr:row>
      <xdr:rowOff>287055</xdr:rowOff>
    </xdr:to>
    <xdr:cxnSp macro="">
      <xdr:nvCxnSpPr>
        <xdr:cNvPr id="12" name="Conector recto 11"/>
        <xdr:cNvCxnSpPr/>
      </xdr:nvCxnSpPr>
      <xdr:spPr>
        <a:xfrm flipV="1">
          <a:off x="18649211" y="6873875"/>
          <a:ext cx="607164" cy="1718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65239</xdr:colOff>
      <xdr:row>20</xdr:row>
      <xdr:rowOff>206375</xdr:rowOff>
    </xdr:from>
    <xdr:to>
      <xdr:col>39</xdr:col>
      <xdr:colOff>1508125</xdr:colOff>
      <xdr:row>20</xdr:row>
      <xdr:rowOff>260958</xdr:rowOff>
    </xdr:to>
    <xdr:cxnSp macro="">
      <xdr:nvCxnSpPr>
        <xdr:cNvPr id="13" name="Conector recto 12"/>
        <xdr:cNvCxnSpPr/>
      </xdr:nvCxnSpPr>
      <xdr:spPr>
        <a:xfrm flipV="1">
          <a:off x="18623114" y="6429375"/>
          <a:ext cx="1442886" cy="545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182671</xdr:colOff>
      <xdr:row>28</xdr:row>
      <xdr:rowOff>91336</xdr:rowOff>
    </xdr:from>
    <xdr:to>
      <xdr:col>34</xdr:col>
      <xdr:colOff>195720</xdr:colOff>
      <xdr:row>28</xdr:row>
      <xdr:rowOff>104384</xdr:rowOff>
    </xdr:to>
    <xdr:cxnSp macro="">
      <xdr:nvCxnSpPr>
        <xdr:cNvPr id="19" name="Conector recto de flecha 18"/>
        <xdr:cNvCxnSpPr/>
      </xdr:nvCxnSpPr>
      <xdr:spPr>
        <a:xfrm>
          <a:off x="8337637" y="8337637"/>
          <a:ext cx="6550069" cy="130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95250</xdr:colOff>
      <xdr:row>19</xdr:row>
      <xdr:rowOff>222251</xdr:rowOff>
    </xdr:from>
    <xdr:to>
      <xdr:col>39</xdr:col>
      <xdr:colOff>428625</xdr:colOff>
      <xdr:row>19</xdr:row>
      <xdr:rowOff>238125</xdr:rowOff>
    </xdr:to>
    <xdr:cxnSp macro="">
      <xdr:nvCxnSpPr>
        <xdr:cNvPr id="11" name="Conector recto 10"/>
        <xdr:cNvCxnSpPr/>
      </xdr:nvCxnSpPr>
      <xdr:spPr>
        <a:xfrm>
          <a:off x="18653125" y="6064251"/>
          <a:ext cx="333375" cy="15874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61850</xdr:colOff>
      <xdr:row>0</xdr:row>
      <xdr:rowOff>0</xdr:rowOff>
    </xdr:from>
    <xdr:to>
      <xdr:col>2</xdr:col>
      <xdr:colOff>1843149</xdr:colOff>
      <xdr:row>4</xdr:row>
      <xdr:rowOff>81004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241" b="17534"/>
        <a:stretch/>
      </xdr:blipFill>
      <xdr:spPr>
        <a:xfrm>
          <a:off x="1223900" y="0"/>
          <a:ext cx="1781299" cy="1144731"/>
        </a:xfrm>
        <a:prstGeom prst="rect">
          <a:avLst/>
        </a:prstGeom>
      </xdr:spPr>
    </xdr:pic>
    <xdr:clientData/>
  </xdr:twoCellAnchor>
  <xdr:twoCellAnchor>
    <xdr:from>
      <xdr:col>38</xdr:col>
      <xdr:colOff>1198905</xdr:colOff>
      <xdr:row>37</xdr:row>
      <xdr:rowOff>25140</xdr:rowOff>
    </xdr:from>
    <xdr:to>
      <xdr:col>39</xdr:col>
      <xdr:colOff>2194</xdr:colOff>
      <xdr:row>37</xdr:row>
      <xdr:rowOff>249197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0233542" y="9888124"/>
          <a:ext cx="247402" cy="224057"/>
        </a:xfrm>
        <a:prstGeom prst="ellipse">
          <a:avLst/>
        </a:prstGeom>
        <a:ln w="38100"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38</xdr:col>
      <xdr:colOff>1229032</xdr:colOff>
      <xdr:row>38</xdr:row>
      <xdr:rowOff>89583</xdr:rowOff>
    </xdr:from>
    <xdr:to>
      <xdr:col>39</xdr:col>
      <xdr:colOff>14564</xdr:colOff>
      <xdr:row>39</xdr:row>
      <xdr:rowOff>46089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0263669" y="10213736"/>
          <a:ext cx="229645" cy="248401"/>
        </a:xfrm>
        <a:prstGeom prst="ellipse">
          <a:avLst/>
        </a:prstGeom>
        <a:ln w="3810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38</xdr:col>
      <xdr:colOff>1229032</xdr:colOff>
      <xdr:row>39</xdr:row>
      <xdr:rowOff>83198</xdr:rowOff>
    </xdr:from>
    <xdr:to>
      <xdr:col>39</xdr:col>
      <xdr:colOff>238</xdr:colOff>
      <xdr:row>40</xdr:row>
      <xdr:rowOff>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0263669" y="10499246"/>
          <a:ext cx="215319" cy="208698"/>
        </a:xfrm>
        <a:prstGeom prst="ellipse">
          <a:avLst/>
        </a:prstGeom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rgbClr val="FF0000"/>
              </a:solidFill>
            </a:rPr>
            <a:t>I</a:t>
          </a:r>
        </a:p>
      </xdr:txBody>
    </xdr:sp>
    <xdr:clientData/>
  </xdr:twoCellAnchor>
  <xdr:twoCellAnchor>
    <xdr:from>
      <xdr:col>38</xdr:col>
      <xdr:colOff>1292940</xdr:colOff>
      <xdr:row>40</xdr:row>
      <xdr:rowOff>64845</xdr:rowOff>
    </xdr:from>
    <xdr:to>
      <xdr:col>38</xdr:col>
      <xdr:colOff>1536291</xdr:colOff>
      <xdr:row>41</xdr:row>
      <xdr:rowOff>76815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0604109" y="10772789"/>
          <a:ext cx="243351" cy="273139"/>
        </a:xfrm>
        <a:prstGeom prst="ellipse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ysClr val="windowText" lastClr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49481</xdr:colOff>
      <xdr:row>40</xdr:row>
      <xdr:rowOff>247403</xdr:rowOff>
    </xdr:from>
    <xdr:to>
      <xdr:col>39</xdr:col>
      <xdr:colOff>2140033</xdr:colOff>
      <xdr:row>42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 txBox="1">
          <a:spLocks noChangeArrowheads="1"/>
        </xdr:cNvSpPr>
      </xdr:nvSpPr>
      <xdr:spPr bwMode="auto">
        <a:xfrm>
          <a:off x="18585131" y="11391653"/>
          <a:ext cx="2090552" cy="333622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HN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TURNO COMPENSATORIO</a:t>
          </a:r>
        </a:p>
      </xdr:txBody>
    </xdr:sp>
    <xdr:clientData/>
  </xdr:twoCellAnchor>
  <xdr:twoCellAnchor editAs="oneCell">
    <xdr:from>
      <xdr:col>38</xdr:col>
      <xdr:colOff>0</xdr:colOff>
      <xdr:row>3</xdr:row>
      <xdr:rowOff>0</xdr:rowOff>
    </xdr:from>
    <xdr:to>
      <xdr:col>38</xdr:col>
      <xdr:colOff>308387</xdr:colOff>
      <xdr:row>4</xdr:row>
      <xdr:rowOff>68212</xdr:rowOff>
    </xdr:to>
    <xdr:sp macro="" textlink="">
      <xdr:nvSpPr>
        <xdr:cNvPr id="8" name="AutoShape 1" descr="sesallogoh | Honduras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7097375" y="781050"/>
          <a:ext cx="308387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35</xdr:col>
      <xdr:colOff>210292</xdr:colOff>
      <xdr:row>0</xdr:row>
      <xdr:rowOff>86591</xdr:rowOff>
    </xdr:from>
    <xdr:to>
      <xdr:col>38</xdr:col>
      <xdr:colOff>515348</xdr:colOff>
      <xdr:row>4</xdr:row>
      <xdr:rowOff>229055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12317" y="86591"/>
          <a:ext cx="1461574" cy="1212336"/>
        </a:xfrm>
        <a:prstGeom prst="rect">
          <a:avLst/>
        </a:prstGeom>
      </xdr:spPr>
    </xdr:pic>
    <xdr:clientData/>
  </xdr:twoCellAnchor>
  <xdr:twoCellAnchor>
    <xdr:from>
      <xdr:col>38</xdr:col>
      <xdr:colOff>119063</xdr:colOff>
      <xdr:row>8</xdr:row>
      <xdr:rowOff>267891</xdr:rowOff>
    </xdr:from>
    <xdr:to>
      <xdr:col>38</xdr:col>
      <xdr:colOff>446485</xdr:colOff>
      <xdr:row>8</xdr:row>
      <xdr:rowOff>297657</xdr:rowOff>
    </xdr:to>
    <xdr:cxnSp macro="">
      <xdr:nvCxnSpPr>
        <xdr:cNvPr id="11" name="Conector recto 10"/>
        <xdr:cNvCxnSpPr/>
      </xdr:nvCxnSpPr>
      <xdr:spPr>
        <a:xfrm>
          <a:off x="21446133" y="2619375"/>
          <a:ext cx="327422" cy="2976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74415</xdr:colOff>
      <xdr:row>9</xdr:row>
      <xdr:rowOff>267891</xdr:rowOff>
    </xdr:from>
    <xdr:to>
      <xdr:col>38</xdr:col>
      <xdr:colOff>550665</xdr:colOff>
      <xdr:row>9</xdr:row>
      <xdr:rowOff>267891</xdr:rowOff>
    </xdr:to>
    <xdr:cxnSp macro="">
      <xdr:nvCxnSpPr>
        <xdr:cNvPr id="16" name="Conector recto 15"/>
        <xdr:cNvCxnSpPr/>
      </xdr:nvCxnSpPr>
      <xdr:spPr>
        <a:xfrm>
          <a:off x="21267540" y="2664024"/>
          <a:ext cx="4762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74415</xdr:colOff>
      <xdr:row>12</xdr:row>
      <xdr:rowOff>223242</xdr:rowOff>
    </xdr:from>
    <xdr:to>
      <xdr:col>38</xdr:col>
      <xdr:colOff>625079</xdr:colOff>
      <xdr:row>12</xdr:row>
      <xdr:rowOff>238125</xdr:rowOff>
    </xdr:to>
    <xdr:cxnSp macro="">
      <xdr:nvCxnSpPr>
        <xdr:cNvPr id="24" name="Conector recto 23"/>
        <xdr:cNvCxnSpPr/>
      </xdr:nvCxnSpPr>
      <xdr:spPr>
        <a:xfrm flipV="1">
          <a:off x="21267540" y="3914180"/>
          <a:ext cx="550664" cy="148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89297</xdr:colOff>
      <xdr:row>14</xdr:row>
      <xdr:rowOff>223242</xdr:rowOff>
    </xdr:from>
    <xdr:to>
      <xdr:col>38</xdr:col>
      <xdr:colOff>744141</xdr:colOff>
      <xdr:row>14</xdr:row>
      <xdr:rowOff>238125</xdr:rowOff>
    </xdr:to>
    <xdr:cxnSp macro="">
      <xdr:nvCxnSpPr>
        <xdr:cNvPr id="37" name="Conector recto 36"/>
        <xdr:cNvCxnSpPr/>
      </xdr:nvCxnSpPr>
      <xdr:spPr>
        <a:xfrm>
          <a:off x="21282422" y="4777383"/>
          <a:ext cx="654844" cy="148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163711</xdr:colOff>
      <xdr:row>15</xdr:row>
      <xdr:rowOff>208359</xdr:rowOff>
    </xdr:from>
    <xdr:to>
      <xdr:col>38</xdr:col>
      <xdr:colOff>550664</xdr:colOff>
      <xdr:row>15</xdr:row>
      <xdr:rowOff>208360</xdr:rowOff>
    </xdr:to>
    <xdr:cxnSp macro="">
      <xdr:nvCxnSpPr>
        <xdr:cNvPr id="41" name="Conector recto 40"/>
        <xdr:cNvCxnSpPr/>
      </xdr:nvCxnSpPr>
      <xdr:spPr>
        <a:xfrm flipV="1">
          <a:off x="21356836" y="5194101"/>
          <a:ext cx="386953" cy="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89296</xdr:colOff>
      <xdr:row>16</xdr:row>
      <xdr:rowOff>208359</xdr:rowOff>
    </xdr:from>
    <xdr:to>
      <xdr:col>38</xdr:col>
      <xdr:colOff>372071</xdr:colOff>
      <xdr:row>16</xdr:row>
      <xdr:rowOff>238125</xdr:rowOff>
    </xdr:to>
    <xdr:cxnSp macro="">
      <xdr:nvCxnSpPr>
        <xdr:cNvPr id="46" name="Conector recto 45"/>
        <xdr:cNvCxnSpPr/>
      </xdr:nvCxnSpPr>
      <xdr:spPr>
        <a:xfrm flipV="1">
          <a:off x="21416366" y="6012656"/>
          <a:ext cx="282775" cy="2976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104180</xdr:colOff>
      <xdr:row>18</xdr:row>
      <xdr:rowOff>193476</xdr:rowOff>
    </xdr:from>
    <xdr:to>
      <xdr:col>38</xdr:col>
      <xdr:colOff>461368</xdr:colOff>
      <xdr:row>18</xdr:row>
      <xdr:rowOff>223242</xdr:rowOff>
    </xdr:to>
    <xdr:cxnSp macro="">
      <xdr:nvCxnSpPr>
        <xdr:cNvPr id="50" name="Conector recto 49"/>
        <xdr:cNvCxnSpPr/>
      </xdr:nvCxnSpPr>
      <xdr:spPr>
        <a:xfrm flipV="1">
          <a:off x="21297305" y="6474023"/>
          <a:ext cx="357188" cy="29766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14883</xdr:colOff>
      <xdr:row>17</xdr:row>
      <xdr:rowOff>267890</xdr:rowOff>
    </xdr:from>
    <xdr:to>
      <xdr:col>38</xdr:col>
      <xdr:colOff>669727</xdr:colOff>
      <xdr:row>17</xdr:row>
      <xdr:rowOff>282773</xdr:rowOff>
    </xdr:to>
    <xdr:cxnSp macro="">
      <xdr:nvCxnSpPr>
        <xdr:cNvPr id="55" name="Conector recto 54"/>
        <xdr:cNvCxnSpPr/>
      </xdr:nvCxnSpPr>
      <xdr:spPr>
        <a:xfrm flipV="1">
          <a:off x="21208008" y="6116835"/>
          <a:ext cx="654844" cy="148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59531</xdr:colOff>
      <xdr:row>20</xdr:row>
      <xdr:rowOff>208360</xdr:rowOff>
    </xdr:from>
    <xdr:to>
      <xdr:col>38</xdr:col>
      <xdr:colOff>892968</xdr:colOff>
      <xdr:row>20</xdr:row>
      <xdr:rowOff>223242</xdr:rowOff>
    </xdr:to>
    <xdr:cxnSp macro="">
      <xdr:nvCxnSpPr>
        <xdr:cNvPr id="67" name="Conector recto 66"/>
        <xdr:cNvCxnSpPr/>
      </xdr:nvCxnSpPr>
      <xdr:spPr>
        <a:xfrm flipV="1">
          <a:off x="21252656" y="7352110"/>
          <a:ext cx="833437" cy="1488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104179</xdr:colOff>
      <xdr:row>21</xdr:row>
      <xdr:rowOff>223243</xdr:rowOff>
    </xdr:from>
    <xdr:to>
      <xdr:col>38</xdr:col>
      <xdr:colOff>446484</xdr:colOff>
      <xdr:row>21</xdr:row>
      <xdr:rowOff>282774</xdr:rowOff>
    </xdr:to>
    <xdr:cxnSp macro="">
      <xdr:nvCxnSpPr>
        <xdr:cNvPr id="72" name="Conector recto 71"/>
        <xdr:cNvCxnSpPr/>
      </xdr:nvCxnSpPr>
      <xdr:spPr>
        <a:xfrm>
          <a:off x="21297304" y="7798595"/>
          <a:ext cx="342305" cy="59531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89297</xdr:colOff>
      <xdr:row>13</xdr:row>
      <xdr:rowOff>208359</xdr:rowOff>
    </xdr:from>
    <xdr:to>
      <xdr:col>38</xdr:col>
      <xdr:colOff>639961</xdr:colOff>
      <xdr:row>13</xdr:row>
      <xdr:rowOff>223242</xdr:rowOff>
    </xdr:to>
    <xdr:cxnSp macro="">
      <xdr:nvCxnSpPr>
        <xdr:cNvPr id="14" name="Conector recto 13"/>
        <xdr:cNvCxnSpPr/>
      </xdr:nvCxnSpPr>
      <xdr:spPr>
        <a:xfrm flipV="1">
          <a:off x="21416367" y="4717851"/>
          <a:ext cx="550664" cy="148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595786</xdr:colOff>
      <xdr:row>0</xdr:row>
      <xdr:rowOff>393280</xdr:rowOff>
    </xdr:from>
    <xdr:to>
      <xdr:col>2</xdr:col>
      <xdr:colOff>4263574</xdr:colOff>
      <xdr:row>6</xdr:row>
      <xdr:rowOff>189422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241" b="17534"/>
        <a:stretch/>
      </xdr:blipFill>
      <xdr:spPr>
        <a:xfrm>
          <a:off x="2662711" y="393280"/>
          <a:ext cx="3667788" cy="2367892"/>
        </a:xfrm>
        <a:prstGeom prst="rect">
          <a:avLst/>
        </a:prstGeom>
      </xdr:spPr>
    </xdr:pic>
    <xdr:clientData/>
  </xdr:twoCellAnchor>
  <xdr:twoCellAnchor editAs="oneCell">
    <xdr:from>
      <xdr:col>0</xdr:col>
      <xdr:colOff>725714</xdr:colOff>
      <xdr:row>27</xdr:row>
      <xdr:rowOff>249464</xdr:rowOff>
    </xdr:from>
    <xdr:to>
      <xdr:col>2</xdr:col>
      <xdr:colOff>1662021</xdr:colOff>
      <xdr:row>34</xdr:row>
      <xdr:rowOff>90714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5714" y="13051064"/>
          <a:ext cx="3003232" cy="2841625"/>
        </a:xfrm>
        <a:prstGeom prst="rect">
          <a:avLst/>
        </a:prstGeom>
      </xdr:spPr>
    </xdr:pic>
    <xdr:clientData/>
  </xdr:twoCellAnchor>
  <xdr:twoCellAnchor editAs="oneCell">
    <xdr:from>
      <xdr:col>37</xdr:col>
      <xdr:colOff>2834821</xdr:colOff>
      <xdr:row>1</xdr:row>
      <xdr:rowOff>70401</xdr:rowOff>
    </xdr:from>
    <xdr:to>
      <xdr:col>38</xdr:col>
      <xdr:colOff>3511176</xdr:colOff>
      <xdr:row>6</xdr:row>
      <xdr:rowOff>136072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04721" y="499026"/>
          <a:ext cx="3534229" cy="2208796"/>
        </a:xfrm>
        <a:prstGeom prst="rect">
          <a:avLst/>
        </a:prstGeom>
      </xdr:spPr>
    </xdr:pic>
    <xdr:clientData/>
  </xdr:twoCellAnchor>
  <xdr:twoCellAnchor>
    <xdr:from>
      <xdr:col>37</xdr:col>
      <xdr:colOff>1113918</xdr:colOff>
      <xdr:row>11</xdr:row>
      <xdr:rowOff>268142</xdr:rowOff>
    </xdr:from>
    <xdr:to>
      <xdr:col>37</xdr:col>
      <xdr:colOff>1612847</xdr:colOff>
      <xdr:row>11</xdr:row>
      <xdr:rowOff>290820</xdr:rowOff>
    </xdr:to>
    <xdr:cxnSp macro="">
      <xdr:nvCxnSpPr>
        <xdr:cNvPr id="5" name="Conector recto 4"/>
        <xdr:cNvCxnSpPr/>
      </xdr:nvCxnSpPr>
      <xdr:spPr>
        <a:xfrm flipV="1">
          <a:off x="27821271" y="4918583"/>
          <a:ext cx="498929" cy="2267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1196629</xdr:colOff>
      <xdr:row>18</xdr:row>
      <xdr:rowOff>249466</xdr:rowOff>
    </xdr:from>
    <xdr:to>
      <xdr:col>37</xdr:col>
      <xdr:colOff>1627522</xdr:colOff>
      <xdr:row>18</xdr:row>
      <xdr:rowOff>272142</xdr:rowOff>
    </xdr:to>
    <xdr:cxnSp macro="">
      <xdr:nvCxnSpPr>
        <xdr:cNvPr id="6" name="Conector recto 5"/>
        <xdr:cNvCxnSpPr/>
      </xdr:nvCxnSpPr>
      <xdr:spPr>
        <a:xfrm flipV="1">
          <a:off x="27903982" y="8541819"/>
          <a:ext cx="430893" cy="22676"/>
        </a:xfrm>
        <a:prstGeom prst="line">
          <a:avLst/>
        </a:prstGeom>
        <a:noFill/>
        <a:ln w="127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  <xdr:twoCellAnchor>
    <xdr:from>
      <xdr:col>37</xdr:col>
      <xdr:colOff>1173950</xdr:colOff>
      <xdr:row>12</xdr:row>
      <xdr:rowOff>350851</xdr:rowOff>
    </xdr:from>
    <xdr:to>
      <xdr:col>37</xdr:col>
      <xdr:colOff>1650201</xdr:colOff>
      <xdr:row>12</xdr:row>
      <xdr:rowOff>350851</xdr:rowOff>
    </xdr:to>
    <xdr:cxnSp macro="">
      <xdr:nvCxnSpPr>
        <xdr:cNvPr id="7" name="Conector recto 6"/>
        <xdr:cNvCxnSpPr/>
      </xdr:nvCxnSpPr>
      <xdr:spPr>
        <a:xfrm>
          <a:off x="27881303" y="5505557"/>
          <a:ext cx="47625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1233982</xdr:colOff>
      <xdr:row>19</xdr:row>
      <xdr:rowOff>249466</xdr:rowOff>
    </xdr:from>
    <xdr:to>
      <xdr:col>37</xdr:col>
      <xdr:colOff>1664875</xdr:colOff>
      <xdr:row>19</xdr:row>
      <xdr:rowOff>272142</xdr:rowOff>
    </xdr:to>
    <xdr:cxnSp macro="">
      <xdr:nvCxnSpPr>
        <xdr:cNvPr id="9" name="Conector recto 8"/>
        <xdr:cNvCxnSpPr/>
      </xdr:nvCxnSpPr>
      <xdr:spPr>
        <a:xfrm flipV="1">
          <a:off x="27941335" y="9046084"/>
          <a:ext cx="430893" cy="22676"/>
        </a:xfrm>
        <a:prstGeom prst="line">
          <a:avLst/>
        </a:prstGeom>
        <a:noFill/>
        <a:ln w="12700" cap="flat" cmpd="sng" algn="ctr">
          <a:solidFill>
            <a:srgbClr val="FF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678494</xdr:colOff>
      <xdr:row>0</xdr:row>
      <xdr:rowOff>0</xdr:rowOff>
    </xdr:from>
    <xdr:to>
      <xdr:col>4</xdr:col>
      <xdr:colOff>127000</xdr:colOff>
      <xdr:row>6</xdr:row>
      <xdr:rowOff>186878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241" b="17534"/>
        <a:stretch/>
      </xdr:blipFill>
      <xdr:spPr>
        <a:xfrm>
          <a:off x="1992944" y="0"/>
          <a:ext cx="2801306" cy="1663253"/>
        </a:xfrm>
        <a:prstGeom prst="rect">
          <a:avLst/>
        </a:prstGeom>
      </xdr:spPr>
    </xdr:pic>
    <xdr:clientData/>
  </xdr:twoCellAnchor>
  <xdr:twoCellAnchor>
    <xdr:from>
      <xdr:col>39</xdr:col>
      <xdr:colOff>900308</xdr:colOff>
      <xdr:row>35</xdr:row>
      <xdr:rowOff>130480</xdr:rowOff>
    </xdr:from>
    <xdr:to>
      <xdr:col>39</xdr:col>
      <xdr:colOff>1161267</xdr:colOff>
      <xdr:row>37</xdr:row>
      <xdr:rowOff>13048</xdr:rowOff>
    </xdr:to>
    <xdr:sp macro="" textlink="">
      <xdr:nvSpPr>
        <xdr:cNvPr id="3" name="Elipse 2"/>
        <xdr:cNvSpPr/>
      </xdr:nvSpPr>
      <xdr:spPr>
        <a:xfrm>
          <a:off x="19655033" y="10131730"/>
          <a:ext cx="260959" cy="339768"/>
        </a:xfrm>
        <a:prstGeom prst="ellipse">
          <a:avLst/>
        </a:prstGeom>
        <a:ln w="38100">
          <a:solidFill>
            <a:srgbClr val="0070C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39</xdr:col>
      <xdr:colOff>861164</xdr:colOff>
      <xdr:row>40</xdr:row>
      <xdr:rowOff>143526</xdr:rowOff>
    </xdr:from>
    <xdr:to>
      <xdr:col>39</xdr:col>
      <xdr:colOff>1239556</xdr:colOff>
      <xdr:row>42</xdr:row>
      <xdr:rowOff>13048</xdr:rowOff>
    </xdr:to>
    <xdr:sp macro="" textlink="">
      <xdr:nvSpPr>
        <xdr:cNvPr id="4" name="Elipse 3"/>
        <xdr:cNvSpPr/>
      </xdr:nvSpPr>
      <xdr:spPr>
        <a:xfrm>
          <a:off x="19615889" y="11163951"/>
          <a:ext cx="378392" cy="317197"/>
        </a:xfrm>
        <a:prstGeom prst="ellipse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ysClr val="windowText" lastClr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874212</xdr:colOff>
      <xdr:row>39</xdr:row>
      <xdr:rowOff>26096</xdr:rowOff>
    </xdr:from>
    <xdr:to>
      <xdr:col>39</xdr:col>
      <xdr:colOff>1226508</xdr:colOff>
      <xdr:row>40</xdr:row>
      <xdr:rowOff>117432</xdr:rowOff>
    </xdr:to>
    <xdr:sp macro="" textlink="">
      <xdr:nvSpPr>
        <xdr:cNvPr id="5" name="Elipse 4"/>
        <xdr:cNvSpPr/>
      </xdr:nvSpPr>
      <xdr:spPr>
        <a:xfrm>
          <a:off x="19628937" y="10856021"/>
          <a:ext cx="352296" cy="281836"/>
        </a:xfrm>
        <a:prstGeom prst="ellipse">
          <a:avLst/>
        </a:prstGeom>
        <a:ln w="38100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AR" sz="2000">
              <a:solidFill>
                <a:sysClr val="windowText" lastClr="000000"/>
              </a:solidFill>
            </a:rPr>
            <a:t>I</a:t>
          </a:r>
        </a:p>
      </xdr:txBody>
    </xdr:sp>
    <xdr:clientData/>
  </xdr:twoCellAnchor>
  <xdr:twoCellAnchor>
    <xdr:from>
      <xdr:col>39</xdr:col>
      <xdr:colOff>861163</xdr:colOff>
      <xdr:row>37</xdr:row>
      <xdr:rowOff>65233</xdr:rowOff>
    </xdr:from>
    <xdr:to>
      <xdr:col>39</xdr:col>
      <xdr:colOff>1174312</xdr:colOff>
      <xdr:row>38</xdr:row>
      <xdr:rowOff>130478</xdr:rowOff>
    </xdr:to>
    <xdr:sp macro="" textlink="">
      <xdr:nvSpPr>
        <xdr:cNvPr id="6" name="Elipse 5"/>
        <xdr:cNvSpPr/>
      </xdr:nvSpPr>
      <xdr:spPr>
        <a:xfrm flipH="1" flipV="1">
          <a:off x="19615888" y="10523683"/>
          <a:ext cx="313149" cy="255745"/>
        </a:xfrm>
        <a:prstGeom prst="ellipse">
          <a:avLst/>
        </a:prstGeom>
        <a:solidFill>
          <a:sysClr val="window" lastClr="FFFFFF"/>
        </a:solidFill>
        <a:ln w="3810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1100" b="0" i="0" u="none" strike="noStrike" kern="0" cap="none" spc="0" normalizeH="0" baseline="0" noProof="0">
            <a:ln>
              <a:solidFill>
                <a:srgbClr val="FF0000"/>
              </a:solidFill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 editAs="oneCell">
    <xdr:from>
      <xdr:col>38</xdr:col>
      <xdr:colOff>52192</xdr:colOff>
      <xdr:row>1</xdr:row>
      <xdr:rowOff>104383</xdr:rowOff>
    </xdr:from>
    <xdr:to>
      <xdr:col>39</xdr:col>
      <xdr:colOff>1513560</xdr:colOff>
      <xdr:row>7</xdr:row>
      <xdr:rowOff>104384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1642" y="294883"/>
          <a:ext cx="1756643" cy="1638301"/>
        </a:xfrm>
        <a:prstGeom prst="rect">
          <a:avLst/>
        </a:prstGeom>
      </xdr:spPr>
    </xdr:pic>
    <xdr:clientData/>
  </xdr:twoCellAnchor>
  <xdr:twoCellAnchor>
    <xdr:from>
      <xdr:col>39</xdr:col>
      <xdr:colOff>91336</xdr:colOff>
      <xdr:row>20</xdr:row>
      <xdr:rowOff>269875</xdr:rowOff>
    </xdr:from>
    <xdr:to>
      <xdr:col>39</xdr:col>
      <xdr:colOff>698500</xdr:colOff>
      <xdr:row>20</xdr:row>
      <xdr:rowOff>287055</xdr:rowOff>
    </xdr:to>
    <xdr:cxnSp macro="">
      <xdr:nvCxnSpPr>
        <xdr:cNvPr id="8" name="Conector recto 7"/>
        <xdr:cNvCxnSpPr/>
      </xdr:nvCxnSpPr>
      <xdr:spPr>
        <a:xfrm flipV="1">
          <a:off x="18846061" y="6880225"/>
          <a:ext cx="607164" cy="1718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65239</xdr:colOff>
      <xdr:row>19</xdr:row>
      <xdr:rowOff>206375</xdr:rowOff>
    </xdr:from>
    <xdr:to>
      <xdr:col>39</xdr:col>
      <xdr:colOff>1508125</xdr:colOff>
      <xdr:row>19</xdr:row>
      <xdr:rowOff>260958</xdr:rowOff>
    </xdr:to>
    <xdr:cxnSp macro="">
      <xdr:nvCxnSpPr>
        <xdr:cNvPr id="9" name="Conector recto 8"/>
        <xdr:cNvCxnSpPr/>
      </xdr:nvCxnSpPr>
      <xdr:spPr>
        <a:xfrm flipV="1">
          <a:off x="18819964" y="6435725"/>
          <a:ext cx="1442886" cy="54583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182671</xdr:colOff>
      <xdr:row>28</xdr:row>
      <xdr:rowOff>91336</xdr:rowOff>
    </xdr:from>
    <xdr:to>
      <xdr:col>34</xdr:col>
      <xdr:colOff>195720</xdr:colOff>
      <xdr:row>28</xdr:row>
      <xdr:rowOff>104384</xdr:rowOff>
    </xdr:to>
    <xdr:cxnSp macro="">
      <xdr:nvCxnSpPr>
        <xdr:cNvPr id="10" name="Conector recto de flecha 9"/>
        <xdr:cNvCxnSpPr/>
      </xdr:nvCxnSpPr>
      <xdr:spPr>
        <a:xfrm>
          <a:off x="9669571" y="8349511"/>
          <a:ext cx="7680674" cy="130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95250</xdr:colOff>
      <xdr:row>18</xdr:row>
      <xdr:rowOff>222251</xdr:rowOff>
    </xdr:from>
    <xdr:to>
      <xdr:col>39</xdr:col>
      <xdr:colOff>1317625</xdr:colOff>
      <xdr:row>18</xdr:row>
      <xdr:rowOff>269875</xdr:rowOff>
    </xdr:to>
    <xdr:cxnSp macro="">
      <xdr:nvCxnSpPr>
        <xdr:cNvPr id="11" name="Conector recto 10"/>
        <xdr:cNvCxnSpPr/>
      </xdr:nvCxnSpPr>
      <xdr:spPr>
        <a:xfrm>
          <a:off x="18954750" y="5683251"/>
          <a:ext cx="1222375" cy="47624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95250</xdr:colOff>
      <xdr:row>16</xdr:row>
      <xdr:rowOff>238125</xdr:rowOff>
    </xdr:from>
    <xdr:to>
      <xdr:col>39</xdr:col>
      <xdr:colOff>476250</xdr:colOff>
      <xdr:row>16</xdr:row>
      <xdr:rowOff>254000</xdr:rowOff>
    </xdr:to>
    <xdr:cxnSp macro="">
      <xdr:nvCxnSpPr>
        <xdr:cNvPr id="13" name="Conector recto 12"/>
        <xdr:cNvCxnSpPr/>
      </xdr:nvCxnSpPr>
      <xdr:spPr>
        <a:xfrm flipV="1">
          <a:off x="18827750" y="4937125"/>
          <a:ext cx="381000" cy="15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174625</xdr:colOff>
      <xdr:row>17</xdr:row>
      <xdr:rowOff>254000</xdr:rowOff>
    </xdr:from>
    <xdr:to>
      <xdr:col>39</xdr:col>
      <xdr:colOff>523875</xdr:colOff>
      <xdr:row>17</xdr:row>
      <xdr:rowOff>269875</xdr:rowOff>
    </xdr:to>
    <xdr:cxnSp macro="">
      <xdr:nvCxnSpPr>
        <xdr:cNvPr id="19" name="Conector recto 18"/>
        <xdr:cNvCxnSpPr/>
      </xdr:nvCxnSpPr>
      <xdr:spPr>
        <a:xfrm>
          <a:off x="19034125" y="5334000"/>
          <a:ext cx="349250" cy="15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P49"/>
  <sheetViews>
    <sheetView view="pageBreakPreview" topLeftCell="C7" zoomScale="60" zoomScaleNormal="73" workbookViewId="0">
      <selection activeCell="T24" sqref="T24"/>
    </sheetView>
  </sheetViews>
  <sheetFormatPr baseColWidth="10" defaultRowHeight="15" x14ac:dyDescent="0.25"/>
  <cols>
    <col min="1" max="1" width="3.42578125" customWidth="1"/>
    <col min="2" max="2" width="4.28515625" customWidth="1"/>
    <col min="3" max="3" width="12" customWidth="1"/>
    <col min="4" max="4" width="50.28515625" customWidth="1"/>
    <col min="5" max="5" width="7.42578125" customWidth="1"/>
    <col min="6" max="6" width="7" customWidth="1"/>
    <col min="7" max="7" width="6.7109375" customWidth="1"/>
    <col min="8" max="8" width="6.28515625" customWidth="1"/>
    <col min="9" max="9" width="6.7109375" customWidth="1"/>
    <col min="10" max="10" width="7.140625" customWidth="1"/>
    <col min="11" max="11" width="6.5703125" customWidth="1"/>
    <col min="12" max="12" width="5.7109375" customWidth="1"/>
    <col min="13" max="14" width="6.28515625" customWidth="1"/>
    <col min="15" max="15" width="6.140625" customWidth="1"/>
    <col min="16" max="16" width="7" customWidth="1"/>
    <col min="17" max="17" width="5.85546875" customWidth="1"/>
    <col min="18" max="18" width="6.28515625" customWidth="1"/>
    <col min="19" max="19" width="6.140625" customWidth="1"/>
    <col min="20" max="20" width="5.5703125" customWidth="1"/>
    <col min="21" max="21" width="5.28515625" customWidth="1"/>
    <col min="22" max="22" width="6" customWidth="1"/>
    <col min="23" max="23" width="6.5703125" customWidth="1"/>
    <col min="24" max="24" width="5.28515625" customWidth="1"/>
    <col min="25" max="25" width="5.85546875" customWidth="1"/>
    <col min="26" max="26" width="6" customWidth="1"/>
    <col min="27" max="27" width="5.85546875" customWidth="1"/>
    <col min="28" max="28" width="5.42578125" customWidth="1"/>
    <col min="29" max="29" width="6" customWidth="1"/>
    <col min="30" max="30" width="5.85546875" customWidth="1"/>
    <col min="31" max="31" width="6.28515625" customWidth="1"/>
    <col min="32" max="32" width="6.7109375" customWidth="1"/>
    <col min="33" max="33" width="6.140625" customWidth="1"/>
    <col min="34" max="34" width="6.85546875" customWidth="1"/>
    <col min="35" max="35" width="6.5703125" customWidth="1"/>
    <col min="36" max="36" width="5.140625" customWidth="1"/>
    <col min="37" max="37" width="4" customWidth="1"/>
    <col min="38" max="38" width="3.85546875" customWidth="1"/>
    <col min="39" max="39" width="4.42578125" customWidth="1"/>
    <col min="40" max="40" width="29" customWidth="1"/>
    <col min="41" max="41" width="52.28515625" customWidth="1"/>
    <col min="42" max="42" width="12.7109375" customWidth="1"/>
  </cols>
  <sheetData>
    <row r="2" spans="1:41" ht="23.25" x14ac:dyDescent="0.35">
      <c r="A2" s="1"/>
      <c r="B2" s="2"/>
      <c r="C2" s="3"/>
      <c r="D2" s="4"/>
      <c r="E2" s="639" t="s">
        <v>0</v>
      </c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5"/>
      <c r="AO2" s="1"/>
    </row>
    <row r="3" spans="1:41" ht="23.25" x14ac:dyDescent="0.35">
      <c r="A3" s="1"/>
      <c r="B3" s="2"/>
      <c r="C3" s="3"/>
      <c r="D3" s="4"/>
      <c r="E3" s="639" t="s">
        <v>1</v>
      </c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/>
      <c r="AK3" s="639"/>
      <c r="AL3" s="639"/>
      <c r="AM3" s="639"/>
      <c r="AN3" s="5"/>
      <c r="AO3" s="1"/>
    </row>
    <row r="4" spans="1:41" ht="23.25" x14ac:dyDescent="0.35">
      <c r="A4" s="1"/>
      <c r="B4" s="2"/>
      <c r="C4" s="3"/>
      <c r="D4" s="4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0"/>
      <c r="X4" s="640"/>
      <c r="Y4" s="640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/>
      <c r="AK4" s="640"/>
      <c r="AL4" s="640"/>
      <c r="AM4" s="640"/>
      <c r="AN4" s="640"/>
      <c r="AO4" s="1"/>
    </row>
    <row r="5" spans="1:41" s="13" customFormat="1" ht="15.75" x14ac:dyDescent="0.25">
      <c r="A5" s="6"/>
      <c r="B5" s="7"/>
      <c r="C5" s="8"/>
      <c r="D5" s="9"/>
      <c r="E5" s="636" t="s">
        <v>2</v>
      </c>
      <c r="F5" s="636"/>
      <c r="G5" s="636"/>
      <c r="H5" s="636"/>
      <c r="I5" s="636"/>
      <c r="J5" s="637" t="s">
        <v>3</v>
      </c>
      <c r="K5" s="637"/>
      <c r="L5" s="637"/>
      <c r="M5" s="637"/>
      <c r="N5" s="637"/>
      <c r="O5" s="637"/>
      <c r="P5" s="637"/>
      <c r="Q5" s="637"/>
      <c r="R5" s="10"/>
      <c r="S5" s="11"/>
      <c r="T5" s="11"/>
      <c r="U5" s="11"/>
      <c r="V5" s="11"/>
      <c r="W5" s="11"/>
      <c r="X5" s="11"/>
      <c r="Y5" s="636" t="s">
        <v>4</v>
      </c>
      <c r="Z5" s="636"/>
      <c r="AA5" s="636"/>
      <c r="AB5" s="636"/>
      <c r="AC5" s="637" t="s">
        <v>66</v>
      </c>
      <c r="AD5" s="637"/>
      <c r="AE5" s="637"/>
      <c r="AF5" s="637"/>
      <c r="AG5" s="637"/>
      <c r="AH5" s="637"/>
      <c r="AI5" s="637"/>
      <c r="AJ5" s="12"/>
      <c r="AK5" s="12"/>
      <c r="AL5" s="12"/>
      <c r="AM5" s="12"/>
      <c r="AN5" s="12"/>
      <c r="AO5" s="6"/>
    </row>
    <row r="6" spans="1:41" s="13" customFormat="1" ht="15.75" x14ac:dyDescent="0.25">
      <c r="A6" s="6"/>
      <c r="B6" s="7"/>
      <c r="C6" s="8"/>
      <c r="D6" s="9"/>
      <c r="E6" s="636" t="s">
        <v>5</v>
      </c>
      <c r="F6" s="636"/>
      <c r="G6" s="636"/>
      <c r="H6" s="636"/>
      <c r="I6" s="636"/>
      <c r="J6" s="637" t="s">
        <v>6</v>
      </c>
      <c r="K6" s="637"/>
      <c r="L6" s="637"/>
      <c r="M6" s="637"/>
      <c r="N6" s="637"/>
      <c r="O6" s="637"/>
      <c r="P6" s="637"/>
      <c r="Q6" s="637"/>
      <c r="R6" s="10"/>
      <c r="S6" s="11"/>
      <c r="T6" s="11"/>
      <c r="U6" s="11"/>
      <c r="V6" s="11"/>
      <c r="W6" s="11"/>
      <c r="X6" s="11"/>
      <c r="Y6" s="636" t="s">
        <v>7</v>
      </c>
      <c r="Z6" s="636"/>
      <c r="AA6" s="636"/>
      <c r="AB6" s="636"/>
      <c r="AC6" s="638">
        <v>2026</v>
      </c>
      <c r="AD6" s="638"/>
      <c r="AE6" s="638"/>
      <c r="AF6" s="638"/>
      <c r="AG6" s="638"/>
      <c r="AH6" s="638"/>
      <c r="AI6" s="638"/>
      <c r="AJ6" s="12"/>
      <c r="AK6" s="12"/>
      <c r="AL6" s="12"/>
      <c r="AM6" s="12"/>
      <c r="AN6" s="12"/>
      <c r="AO6" s="6"/>
    </row>
    <row r="7" spans="1:41" s="13" customFormat="1" ht="27.75" customHeight="1" x14ac:dyDescent="0.25">
      <c r="A7" s="6"/>
      <c r="B7" s="7"/>
      <c r="C7" s="8"/>
      <c r="D7" s="14"/>
      <c r="E7" s="636" t="s">
        <v>8</v>
      </c>
      <c r="F7" s="636"/>
      <c r="G7" s="636"/>
      <c r="H7" s="636"/>
      <c r="I7" s="636"/>
      <c r="J7" s="637" t="s">
        <v>9</v>
      </c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7"/>
      <c r="AI7" s="637"/>
      <c r="AJ7" s="12"/>
      <c r="AK7" s="12"/>
      <c r="AL7" s="12"/>
      <c r="AM7" s="12"/>
      <c r="AN7" s="12"/>
      <c r="AO7" s="6"/>
    </row>
    <row r="8" spans="1:41" s="13" customFormat="1" ht="27.75" customHeight="1" x14ac:dyDescent="0.25">
      <c r="A8" s="6"/>
      <c r="B8" s="7"/>
      <c r="C8" s="8"/>
      <c r="D8" s="14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2"/>
      <c r="AK8" s="12"/>
      <c r="AL8" s="12"/>
      <c r="AM8" s="12"/>
      <c r="AN8" s="12"/>
      <c r="AO8" s="6"/>
    </row>
    <row r="9" spans="1:41" s="13" customFormat="1" ht="18.75" customHeight="1" thickBot="1" x14ac:dyDescent="0.3">
      <c r="A9" s="6"/>
      <c r="B9" s="7"/>
      <c r="C9" s="8"/>
      <c r="D9" s="14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2"/>
      <c r="AK9" s="12"/>
      <c r="AL9" s="12"/>
      <c r="AM9" s="12"/>
      <c r="AN9" s="12"/>
      <c r="AO9" s="6"/>
    </row>
    <row r="10" spans="1:41" s="13" customFormat="1" ht="18" x14ac:dyDescent="0.2">
      <c r="A10" s="6"/>
      <c r="B10" s="626" t="s">
        <v>10</v>
      </c>
      <c r="C10" s="628" t="s">
        <v>11</v>
      </c>
      <c r="D10" s="630" t="s">
        <v>12</v>
      </c>
      <c r="E10" s="15" t="s">
        <v>13</v>
      </c>
      <c r="F10" s="16" t="s">
        <v>17</v>
      </c>
      <c r="G10" s="16" t="s">
        <v>18</v>
      </c>
      <c r="H10" s="16" t="s">
        <v>18</v>
      </c>
      <c r="I10" s="16" t="s">
        <v>19</v>
      </c>
      <c r="J10" s="16" t="s">
        <v>14</v>
      </c>
      <c r="K10" s="17" t="s">
        <v>15</v>
      </c>
      <c r="L10" s="17" t="s">
        <v>16</v>
      </c>
      <c r="M10" s="16" t="s">
        <v>17</v>
      </c>
      <c r="N10" s="16" t="s">
        <v>18</v>
      </c>
      <c r="O10" s="16" t="s">
        <v>18</v>
      </c>
      <c r="P10" s="16" t="s">
        <v>19</v>
      </c>
      <c r="Q10" s="16" t="s">
        <v>14</v>
      </c>
      <c r="R10" s="17" t="s">
        <v>15</v>
      </c>
      <c r="S10" s="17" t="s">
        <v>16</v>
      </c>
      <c r="T10" s="16" t="s">
        <v>17</v>
      </c>
      <c r="U10" s="16" t="s">
        <v>18</v>
      </c>
      <c r="V10" s="16" t="s">
        <v>18</v>
      </c>
      <c r="W10" s="16" t="s">
        <v>19</v>
      </c>
      <c r="X10" s="16" t="s">
        <v>14</v>
      </c>
      <c r="Y10" s="17" t="s">
        <v>15</v>
      </c>
      <c r="Z10" s="17" t="s">
        <v>16</v>
      </c>
      <c r="AA10" s="16" t="s">
        <v>17</v>
      </c>
      <c r="AB10" s="16" t="s">
        <v>18</v>
      </c>
      <c r="AC10" s="16" t="s">
        <v>18</v>
      </c>
      <c r="AD10" s="16" t="s">
        <v>19</v>
      </c>
      <c r="AE10" s="16" t="s">
        <v>14</v>
      </c>
      <c r="AF10" s="17" t="s">
        <v>15</v>
      </c>
      <c r="AG10" s="17" t="s">
        <v>16</v>
      </c>
      <c r="AH10" s="16" t="s">
        <v>17</v>
      </c>
      <c r="AI10" s="16" t="s">
        <v>18</v>
      </c>
      <c r="AJ10" s="632" t="s">
        <v>20</v>
      </c>
      <c r="AK10" s="633"/>
      <c r="AL10" s="633"/>
      <c r="AM10" s="633"/>
      <c r="AN10" s="633"/>
      <c r="AO10" s="634" t="s">
        <v>21</v>
      </c>
    </row>
    <row r="11" spans="1:41" s="13" customFormat="1" ht="25.5" customHeight="1" thickBot="1" x14ac:dyDescent="0.25">
      <c r="A11" s="6"/>
      <c r="B11" s="627"/>
      <c r="C11" s="629"/>
      <c r="D11" s="631"/>
      <c r="E11" s="18" t="s">
        <v>22</v>
      </c>
      <c r="F11" s="19">
        <v>1</v>
      </c>
      <c r="G11" s="19">
        <v>2</v>
      </c>
      <c r="H11" s="19">
        <v>3</v>
      </c>
      <c r="I11" s="19">
        <v>4</v>
      </c>
      <c r="J11" s="19">
        <v>5</v>
      </c>
      <c r="K11" s="19">
        <v>6</v>
      </c>
      <c r="L11" s="19">
        <v>7</v>
      </c>
      <c r="M11" s="19">
        <v>8</v>
      </c>
      <c r="N11" s="19">
        <v>9</v>
      </c>
      <c r="O11" s="19">
        <v>10</v>
      </c>
      <c r="P11" s="19">
        <v>11</v>
      </c>
      <c r="Q11" s="19">
        <v>12</v>
      </c>
      <c r="R11" s="19">
        <v>13</v>
      </c>
      <c r="S11" s="19">
        <v>14</v>
      </c>
      <c r="T11" s="19">
        <v>15</v>
      </c>
      <c r="U11" s="19">
        <v>16</v>
      </c>
      <c r="V11" s="19">
        <v>17</v>
      </c>
      <c r="W11" s="19">
        <v>18</v>
      </c>
      <c r="X11" s="19">
        <v>19</v>
      </c>
      <c r="Y11" s="19">
        <v>20</v>
      </c>
      <c r="Z11" s="19">
        <v>21</v>
      </c>
      <c r="AA11" s="19">
        <v>22</v>
      </c>
      <c r="AB11" s="19">
        <v>23</v>
      </c>
      <c r="AC11" s="19">
        <v>24</v>
      </c>
      <c r="AD11" s="19">
        <v>25</v>
      </c>
      <c r="AE11" s="19">
        <v>26</v>
      </c>
      <c r="AF11" s="19">
        <v>27</v>
      </c>
      <c r="AG11" s="19">
        <v>28</v>
      </c>
      <c r="AH11" s="19">
        <v>29</v>
      </c>
      <c r="AI11" s="19">
        <v>30</v>
      </c>
      <c r="AJ11" s="20" t="s">
        <v>23</v>
      </c>
      <c r="AK11" s="21" t="s">
        <v>24</v>
      </c>
      <c r="AL11" s="22" t="s">
        <v>25</v>
      </c>
      <c r="AM11" s="22" t="s">
        <v>17</v>
      </c>
      <c r="AN11" s="23"/>
      <c r="AO11" s="635"/>
    </row>
    <row r="12" spans="1:41" s="13" customFormat="1" ht="25.5" customHeight="1" thickBot="1" x14ac:dyDescent="0.25">
      <c r="A12" s="6"/>
      <c r="B12" s="24"/>
      <c r="C12" s="25"/>
      <c r="D12" s="26" t="s">
        <v>26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 t="s">
        <v>27</v>
      </c>
      <c r="AO12" s="29"/>
    </row>
    <row r="13" spans="1:41" s="13" customFormat="1" ht="25.5" customHeight="1" thickBot="1" x14ac:dyDescent="0.4">
      <c r="A13" s="6"/>
      <c r="B13" s="30">
        <v>1</v>
      </c>
      <c r="C13" s="31" t="s">
        <v>28</v>
      </c>
      <c r="D13" s="32" t="s">
        <v>29</v>
      </c>
      <c r="E13" s="33"/>
      <c r="F13" s="348" t="s">
        <v>23</v>
      </c>
      <c r="G13" s="328" t="s">
        <v>23</v>
      </c>
      <c r="H13" s="328" t="s">
        <v>23</v>
      </c>
      <c r="I13" s="328" t="s">
        <v>23</v>
      </c>
      <c r="J13" s="328" t="s">
        <v>23</v>
      </c>
      <c r="K13" s="343" t="s">
        <v>17</v>
      </c>
      <c r="L13" s="343" t="s">
        <v>17</v>
      </c>
      <c r="M13" s="348" t="s">
        <v>23</v>
      </c>
      <c r="N13" s="328" t="s">
        <v>23</v>
      </c>
      <c r="O13" s="328" t="s">
        <v>23</v>
      </c>
      <c r="P13" s="328" t="s">
        <v>23</v>
      </c>
      <c r="Q13" s="328" t="s">
        <v>23</v>
      </c>
      <c r="R13" s="343" t="s">
        <v>17</v>
      </c>
      <c r="S13" s="343" t="s">
        <v>17</v>
      </c>
      <c r="T13" s="348" t="s">
        <v>23</v>
      </c>
      <c r="U13" s="328" t="s">
        <v>23</v>
      </c>
      <c r="V13" s="328" t="s">
        <v>23</v>
      </c>
      <c r="W13" s="328" t="s">
        <v>23</v>
      </c>
      <c r="X13" s="328" t="s">
        <v>23</v>
      </c>
      <c r="Y13" s="343" t="s">
        <v>17</v>
      </c>
      <c r="Z13" s="343" t="s">
        <v>17</v>
      </c>
      <c r="AA13" s="348" t="s">
        <v>23</v>
      </c>
      <c r="AB13" s="328" t="s">
        <v>23</v>
      </c>
      <c r="AC13" s="328" t="s">
        <v>23</v>
      </c>
      <c r="AD13" s="328" t="s">
        <v>23</v>
      </c>
      <c r="AE13" s="328" t="s">
        <v>23</v>
      </c>
      <c r="AF13" s="343" t="s">
        <v>17</v>
      </c>
      <c r="AG13" s="343" t="s">
        <v>17</v>
      </c>
      <c r="AH13" s="328" t="s">
        <v>23</v>
      </c>
      <c r="AI13" s="328" t="s">
        <v>23</v>
      </c>
      <c r="AJ13" s="36">
        <v>22</v>
      </c>
      <c r="AK13" s="36">
        <v>0</v>
      </c>
      <c r="AL13" s="36">
        <v>0</v>
      </c>
      <c r="AM13" s="37">
        <v>8</v>
      </c>
      <c r="AN13" s="38"/>
      <c r="AO13" s="39"/>
    </row>
    <row r="14" spans="1:41" s="13" customFormat="1" ht="25.5" customHeight="1" thickBot="1" x14ac:dyDescent="0.25">
      <c r="A14" s="6"/>
      <c r="B14" s="40"/>
      <c r="C14" s="41"/>
      <c r="D14" s="42" t="s">
        <v>30</v>
      </c>
      <c r="E14" s="310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0"/>
      <c r="AA14" s="310"/>
      <c r="AB14" s="310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43"/>
      <c r="AO14" s="44"/>
    </row>
    <row r="15" spans="1:41" s="13" customFormat="1" ht="30" customHeight="1" x14ac:dyDescent="0.35">
      <c r="A15" s="6">
        <v>7</v>
      </c>
      <c r="B15" s="45">
        <v>1</v>
      </c>
      <c r="C15" s="46">
        <v>100114</v>
      </c>
      <c r="D15" s="47" t="s">
        <v>31</v>
      </c>
      <c r="E15" s="48"/>
      <c r="F15" s="337" t="s">
        <v>17</v>
      </c>
      <c r="G15" s="328" t="s">
        <v>23</v>
      </c>
      <c r="H15" s="328" t="s">
        <v>23</v>
      </c>
      <c r="I15" s="338" t="s">
        <v>24</v>
      </c>
      <c r="J15" s="337" t="s">
        <v>17</v>
      </c>
      <c r="K15" s="339" t="s">
        <v>23</v>
      </c>
      <c r="L15" s="340" t="s">
        <v>25</v>
      </c>
      <c r="M15" s="337" t="s">
        <v>17</v>
      </c>
      <c r="N15" s="338" t="s">
        <v>24</v>
      </c>
      <c r="O15" s="338" t="s">
        <v>24</v>
      </c>
      <c r="P15" s="341" t="s">
        <v>24</v>
      </c>
      <c r="Q15" s="342" t="s">
        <v>25</v>
      </c>
      <c r="R15" s="340" t="s">
        <v>17</v>
      </c>
      <c r="S15" s="340" t="s">
        <v>17</v>
      </c>
      <c r="T15" s="340">
        <v>1</v>
      </c>
      <c r="U15" s="340">
        <v>2</v>
      </c>
      <c r="V15" s="340">
        <v>3</v>
      </c>
      <c r="W15" s="340">
        <v>4</v>
      </c>
      <c r="X15" s="340">
        <v>5</v>
      </c>
      <c r="Y15" s="340" t="s">
        <v>17</v>
      </c>
      <c r="Z15" s="343" t="s">
        <v>17</v>
      </c>
      <c r="AA15" s="343">
        <v>6</v>
      </c>
      <c r="AB15" s="343">
        <v>7</v>
      </c>
      <c r="AC15" s="340">
        <v>8</v>
      </c>
      <c r="AD15" s="340">
        <v>9</v>
      </c>
      <c r="AE15" s="340">
        <v>10</v>
      </c>
      <c r="AF15" s="340" t="s">
        <v>17</v>
      </c>
      <c r="AG15" s="340" t="s">
        <v>17</v>
      </c>
      <c r="AH15" s="340">
        <v>11</v>
      </c>
      <c r="AI15" s="340">
        <v>12</v>
      </c>
      <c r="AJ15" s="52">
        <v>3</v>
      </c>
      <c r="AK15" s="53">
        <v>4</v>
      </c>
      <c r="AL15" s="54">
        <v>2</v>
      </c>
      <c r="AM15" s="55">
        <v>9</v>
      </c>
      <c r="AN15" s="56"/>
      <c r="AO15" s="57" t="s">
        <v>101</v>
      </c>
    </row>
    <row r="16" spans="1:41" s="13" customFormat="1" ht="30" customHeight="1" x14ac:dyDescent="0.35">
      <c r="A16" s="6"/>
      <c r="B16" s="45">
        <v>2</v>
      </c>
      <c r="C16" s="58">
        <v>100115</v>
      </c>
      <c r="D16" s="59" t="s">
        <v>32</v>
      </c>
      <c r="E16" s="48"/>
      <c r="F16" s="328" t="s">
        <v>23</v>
      </c>
      <c r="G16" s="337" t="s">
        <v>25</v>
      </c>
      <c r="H16" s="337" t="s">
        <v>17</v>
      </c>
      <c r="I16" s="328" t="s">
        <v>23</v>
      </c>
      <c r="J16" s="337" t="s">
        <v>25</v>
      </c>
      <c r="K16" s="340" t="s">
        <v>17</v>
      </c>
      <c r="L16" s="339" t="s">
        <v>23</v>
      </c>
      <c r="M16" s="341" t="s">
        <v>24</v>
      </c>
      <c r="N16" s="338" t="s">
        <v>24</v>
      </c>
      <c r="O16" s="337" t="s">
        <v>25</v>
      </c>
      <c r="P16" s="337" t="s">
        <v>17</v>
      </c>
      <c r="Q16" s="338" t="s">
        <v>24</v>
      </c>
      <c r="R16" s="344" t="s">
        <v>17</v>
      </c>
      <c r="S16" s="345" t="s">
        <v>17</v>
      </c>
      <c r="T16" s="328" t="s">
        <v>23</v>
      </c>
      <c r="U16" s="337" t="s">
        <v>17</v>
      </c>
      <c r="V16" s="328" t="s">
        <v>23</v>
      </c>
      <c r="W16" s="328" t="s">
        <v>23</v>
      </c>
      <c r="X16" s="338" t="s">
        <v>24</v>
      </c>
      <c r="Y16" s="346" t="s">
        <v>24</v>
      </c>
      <c r="Z16" s="343" t="s">
        <v>17</v>
      </c>
      <c r="AA16" s="341" t="s">
        <v>24</v>
      </c>
      <c r="AB16" s="342" t="s">
        <v>17</v>
      </c>
      <c r="AC16" s="328" t="s">
        <v>23</v>
      </c>
      <c r="AD16" s="347" t="s">
        <v>23</v>
      </c>
      <c r="AE16" s="338" t="s">
        <v>24</v>
      </c>
      <c r="AF16" s="340" t="s">
        <v>25</v>
      </c>
      <c r="AG16" s="340" t="s">
        <v>25</v>
      </c>
      <c r="AH16" s="342" t="s">
        <v>17</v>
      </c>
      <c r="AI16" s="337" t="s">
        <v>17</v>
      </c>
      <c r="AJ16" s="52">
        <v>8</v>
      </c>
      <c r="AK16" s="53">
        <v>7</v>
      </c>
      <c r="AL16" s="54">
        <v>5</v>
      </c>
      <c r="AM16" s="55">
        <v>10</v>
      </c>
      <c r="AN16" s="56"/>
      <c r="AO16" s="61"/>
    </row>
    <row r="17" spans="1:41" s="13" customFormat="1" ht="30" customHeight="1" x14ac:dyDescent="0.35">
      <c r="A17" s="6"/>
      <c r="B17" s="62">
        <v>3</v>
      </c>
      <c r="C17" s="63">
        <v>100113</v>
      </c>
      <c r="D17" s="64" t="s">
        <v>33</v>
      </c>
      <c r="E17" s="65"/>
      <c r="F17" s="341" t="s">
        <v>24</v>
      </c>
      <c r="G17" s="341" t="s">
        <v>24</v>
      </c>
      <c r="H17" s="342" t="s">
        <v>17</v>
      </c>
      <c r="I17" s="342" t="s">
        <v>17</v>
      </c>
      <c r="J17" s="348" t="s">
        <v>23</v>
      </c>
      <c r="K17" s="349" t="s">
        <v>23</v>
      </c>
      <c r="L17" s="350" t="s">
        <v>24</v>
      </c>
      <c r="M17" s="341" t="s">
        <v>24</v>
      </c>
      <c r="N17" s="342" t="s">
        <v>17</v>
      </c>
      <c r="O17" s="351" t="s">
        <v>23</v>
      </c>
      <c r="P17" s="348" t="s">
        <v>23</v>
      </c>
      <c r="Q17" s="341" t="s">
        <v>24</v>
      </c>
      <c r="R17" s="350" t="s">
        <v>24</v>
      </c>
      <c r="S17" s="343" t="s">
        <v>17</v>
      </c>
      <c r="T17" s="341" t="s">
        <v>24</v>
      </c>
      <c r="U17" s="342" t="s">
        <v>17</v>
      </c>
      <c r="V17" s="348" t="s">
        <v>23</v>
      </c>
      <c r="W17" s="342" t="s">
        <v>25</v>
      </c>
      <c r="X17" s="342" t="s">
        <v>25</v>
      </c>
      <c r="Y17" s="343" t="s">
        <v>17</v>
      </c>
      <c r="Z17" s="343" t="s">
        <v>17</v>
      </c>
      <c r="AA17" s="343">
        <v>1</v>
      </c>
      <c r="AB17" s="340">
        <v>2</v>
      </c>
      <c r="AC17" s="343">
        <v>3</v>
      </c>
      <c r="AD17" s="343">
        <v>4</v>
      </c>
      <c r="AE17" s="343">
        <v>5</v>
      </c>
      <c r="AF17" s="343" t="s">
        <v>17</v>
      </c>
      <c r="AG17" s="343" t="s">
        <v>17</v>
      </c>
      <c r="AH17" s="343">
        <v>6</v>
      </c>
      <c r="AI17" s="343">
        <v>7</v>
      </c>
      <c r="AJ17" s="66">
        <v>5</v>
      </c>
      <c r="AK17" s="67">
        <v>7</v>
      </c>
      <c r="AL17" s="68">
        <v>2</v>
      </c>
      <c r="AM17" s="69">
        <v>9</v>
      </c>
      <c r="AN17" s="70"/>
      <c r="AO17" s="318" t="s">
        <v>102</v>
      </c>
    </row>
    <row r="18" spans="1:41" s="13" customFormat="1" ht="30" customHeight="1" x14ac:dyDescent="0.35">
      <c r="A18" s="6"/>
      <c r="B18" s="62">
        <v>4</v>
      </c>
      <c r="C18" s="63">
        <v>100475</v>
      </c>
      <c r="D18" s="64" t="s">
        <v>100</v>
      </c>
      <c r="E18" s="65"/>
      <c r="F18" s="349" t="s">
        <v>23</v>
      </c>
      <c r="G18" s="348" t="s">
        <v>23</v>
      </c>
      <c r="H18" s="342" t="s">
        <v>25</v>
      </c>
      <c r="I18" s="342" t="s">
        <v>17</v>
      </c>
      <c r="J18" s="348" t="s">
        <v>23</v>
      </c>
      <c r="K18" s="350" t="s">
        <v>24</v>
      </c>
      <c r="L18" s="343" t="s">
        <v>17</v>
      </c>
      <c r="M18" s="348" t="s">
        <v>23</v>
      </c>
      <c r="N18" s="348" t="s">
        <v>23</v>
      </c>
      <c r="O18" s="342" t="s">
        <v>17</v>
      </c>
      <c r="P18" s="342" t="s">
        <v>25</v>
      </c>
      <c r="Q18" s="342" t="s">
        <v>17</v>
      </c>
      <c r="R18" s="352" t="s">
        <v>23</v>
      </c>
      <c r="S18" s="350" t="s">
        <v>24</v>
      </c>
      <c r="T18" s="341" t="s">
        <v>24</v>
      </c>
      <c r="U18" s="341" t="s">
        <v>24</v>
      </c>
      <c r="V18" s="341" t="s">
        <v>24</v>
      </c>
      <c r="W18" s="337" t="s">
        <v>17</v>
      </c>
      <c r="X18" s="348" t="s">
        <v>23</v>
      </c>
      <c r="Y18" s="344" t="s">
        <v>17</v>
      </c>
      <c r="Z18" s="344" t="s">
        <v>17</v>
      </c>
      <c r="AA18" s="348" t="s">
        <v>23</v>
      </c>
      <c r="AB18" s="341" t="s">
        <v>24</v>
      </c>
      <c r="AC18" s="341" t="s">
        <v>24</v>
      </c>
      <c r="AD18" s="342" t="s">
        <v>25</v>
      </c>
      <c r="AE18" s="342" t="s">
        <v>25</v>
      </c>
      <c r="AF18" s="343" t="s">
        <v>17</v>
      </c>
      <c r="AG18" s="343" t="s">
        <v>17</v>
      </c>
      <c r="AH18" s="342" t="s">
        <v>25</v>
      </c>
      <c r="AI18" s="342" t="s">
        <v>17</v>
      </c>
      <c r="AJ18" s="71">
        <v>8</v>
      </c>
      <c r="AK18" s="67">
        <v>7</v>
      </c>
      <c r="AL18" s="68">
        <v>5</v>
      </c>
      <c r="AM18" s="69">
        <v>10</v>
      </c>
      <c r="AN18" s="70"/>
      <c r="AO18" s="336"/>
    </row>
    <row r="19" spans="1:41" s="13" customFormat="1" ht="30" customHeight="1" x14ac:dyDescent="0.35">
      <c r="A19" s="6"/>
      <c r="B19" s="62">
        <v>5</v>
      </c>
      <c r="C19" s="63">
        <v>100455</v>
      </c>
      <c r="D19" s="64" t="s">
        <v>34</v>
      </c>
      <c r="E19" s="65"/>
      <c r="F19" s="343">
        <v>11</v>
      </c>
      <c r="G19" s="340">
        <v>12</v>
      </c>
      <c r="H19" s="343">
        <v>13</v>
      </c>
      <c r="I19" s="343">
        <v>14</v>
      </c>
      <c r="J19" s="343">
        <v>15</v>
      </c>
      <c r="K19" s="343" t="s">
        <v>17</v>
      </c>
      <c r="L19" s="343" t="s">
        <v>17</v>
      </c>
      <c r="M19" s="343">
        <v>16</v>
      </c>
      <c r="N19" s="343">
        <v>17</v>
      </c>
      <c r="O19" s="343">
        <v>18</v>
      </c>
      <c r="P19" s="343">
        <v>19</v>
      </c>
      <c r="Q19" s="343">
        <v>20</v>
      </c>
      <c r="R19" s="343" t="s">
        <v>17</v>
      </c>
      <c r="S19" s="343" t="s">
        <v>17</v>
      </c>
      <c r="T19" s="343">
        <v>21</v>
      </c>
      <c r="U19" s="343">
        <v>22</v>
      </c>
      <c r="V19" s="343">
        <v>23</v>
      </c>
      <c r="W19" s="343">
        <v>24</v>
      </c>
      <c r="X19" s="349" t="s">
        <v>23</v>
      </c>
      <c r="Y19" s="353" t="s">
        <v>23</v>
      </c>
      <c r="Z19" s="329" t="s">
        <v>23</v>
      </c>
      <c r="AA19" s="342" t="s">
        <v>17</v>
      </c>
      <c r="AB19" s="342" t="s">
        <v>25</v>
      </c>
      <c r="AC19" s="342" t="s">
        <v>17</v>
      </c>
      <c r="AD19" s="348" t="s">
        <v>23</v>
      </c>
      <c r="AE19" s="342" t="s">
        <v>17</v>
      </c>
      <c r="AF19" s="349" t="s">
        <v>23</v>
      </c>
      <c r="AG19" s="350" t="s">
        <v>24</v>
      </c>
      <c r="AH19" s="342" t="s">
        <v>17</v>
      </c>
      <c r="AI19" s="341" t="s">
        <v>24</v>
      </c>
      <c r="AJ19" s="66">
        <v>5</v>
      </c>
      <c r="AK19" s="67">
        <v>2</v>
      </c>
      <c r="AL19" s="68">
        <v>1</v>
      </c>
      <c r="AM19" s="69">
        <v>8</v>
      </c>
      <c r="AN19" s="70"/>
      <c r="AO19" s="72" t="s">
        <v>36</v>
      </c>
    </row>
    <row r="20" spans="1:41" s="13" customFormat="1" ht="30" customHeight="1" x14ac:dyDescent="0.35">
      <c r="A20" s="6"/>
      <c r="B20" s="62">
        <v>6</v>
      </c>
      <c r="C20" s="63">
        <v>100390</v>
      </c>
      <c r="D20" s="64" t="s">
        <v>37</v>
      </c>
      <c r="E20" s="65"/>
      <c r="F20" s="342" t="s">
        <v>25</v>
      </c>
      <c r="G20" s="342" t="s">
        <v>17</v>
      </c>
      <c r="H20" s="354" t="s">
        <v>24</v>
      </c>
      <c r="I20" s="342" t="s">
        <v>25</v>
      </c>
      <c r="J20" s="342" t="s">
        <v>17</v>
      </c>
      <c r="K20" s="344" t="s">
        <v>17</v>
      </c>
      <c r="L20" s="344" t="s">
        <v>17</v>
      </c>
      <c r="M20" s="348" t="s">
        <v>23</v>
      </c>
      <c r="N20" s="348" t="s">
        <v>23</v>
      </c>
      <c r="O20" s="341" t="s">
        <v>24</v>
      </c>
      <c r="P20" s="342" t="s">
        <v>17</v>
      </c>
      <c r="Q20" s="348" t="s">
        <v>23</v>
      </c>
      <c r="R20" s="343" t="s">
        <v>107</v>
      </c>
      <c r="S20" s="343" t="s">
        <v>25</v>
      </c>
      <c r="T20" s="342" t="s">
        <v>17</v>
      </c>
      <c r="U20" s="348" t="s">
        <v>23</v>
      </c>
      <c r="V20" s="342" t="s">
        <v>25</v>
      </c>
      <c r="W20" s="342" t="s">
        <v>17</v>
      </c>
      <c r="X20" s="342" t="s">
        <v>17</v>
      </c>
      <c r="Y20" s="349" t="s">
        <v>23</v>
      </c>
      <c r="Z20" s="350" t="s">
        <v>24</v>
      </c>
      <c r="AA20" s="342" t="s">
        <v>25</v>
      </c>
      <c r="AB20" s="342" t="s">
        <v>17</v>
      </c>
      <c r="AC20" s="341" t="s">
        <v>24</v>
      </c>
      <c r="AD20" s="341" t="s">
        <v>24</v>
      </c>
      <c r="AE20" s="342" t="s">
        <v>17</v>
      </c>
      <c r="AF20" s="329" t="s">
        <v>23</v>
      </c>
      <c r="AG20" s="329" t="s">
        <v>23</v>
      </c>
      <c r="AH20" s="348" t="s">
        <v>23</v>
      </c>
      <c r="AI20" s="348" t="s">
        <v>23</v>
      </c>
      <c r="AJ20" s="66">
        <v>9</v>
      </c>
      <c r="AK20" s="67">
        <v>5</v>
      </c>
      <c r="AL20" s="68">
        <v>5</v>
      </c>
      <c r="AM20" s="69">
        <v>10</v>
      </c>
      <c r="AN20" s="70" t="s">
        <v>107</v>
      </c>
      <c r="AO20" s="72"/>
    </row>
    <row r="21" spans="1:41" s="13" customFormat="1" ht="30" customHeight="1" x14ac:dyDescent="0.35">
      <c r="A21" s="6"/>
      <c r="B21" s="62">
        <v>7</v>
      </c>
      <c r="C21" s="63">
        <v>100116</v>
      </c>
      <c r="D21" s="64" t="s">
        <v>38</v>
      </c>
      <c r="E21" s="65"/>
      <c r="F21" s="343">
        <v>21</v>
      </c>
      <c r="G21" s="343">
        <v>22</v>
      </c>
      <c r="H21" s="343">
        <v>23</v>
      </c>
      <c r="I21" s="343">
        <v>24</v>
      </c>
      <c r="J21" s="342" t="s">
        <v>118</v>
      </c>
      <c r="K21" s="327" t="s">
        <v>122</v>
      </c>
      <c r="L21" s="344" t="s">
        <v>107</v>
      </c>
      <c r="M21" s="342" t="s">
        <v>17</v>
      </c>
      <c r="N21" s="342" t="s">
        <v>17</v>
      </c>
      <c r="O21" s="51" t="s">
        <v>123</v>
      </c>
      <c r="P21" s="341" t="s">
        <v>24</v>
      </c>
      <c r="Q21" s="342" t="s">
        <v>17</v>
      </c>
      <c r="R21" s="353" t="s">
        <v>23</v>
      </c>
      <c r="S21" s="329" t="s">
        <v>23</v>
      </c>
      <c r="T21" s="342" t="s">
        <v>25</v>
      </c>
      <c r="U21" s="342" t="s">
        <v>17</v>
      </c>
      <c r="V21" s="341" t="s">
        <v>24</v>
      </c>
      <c r="W21" s="341" t="s">
        <v>24</v>
      </c>
      <c r="X21" s="342" t="s">
        <v>17</v>
      </c>
      <c r="Y21" s="343" t="s">
        <v>25</v>
      </c>
      <c r="Z21" s="343" t="s">
        <v>25</v>
      </c>
      <c r="AA21" s="342" t="s">
        <v>17</v>
      </c>
      <c r="AB21" s="342" t="s">
        <v>17</v>
      </c>
      <c r="AC21" s="342" t="s">
        <v>25</v>
      </c>
      <c r="AD21" s="342" t="s">
        <v>17</v>
      </c>
      <c r="AE21" s="348" t="s">
        <v>23</v>
      </c>
      <c r="AF21" s="350" t="s">
        <v>24</v>
      </c>
      <c r="AG21" s="343" t="s">
        <v>17</v>
      </c>
      <c r="AH21" s="341" t="s">
        <v>24</v>
      </c>
      <c r="AI21" s="342" t="s">
        <v>25</v>
      </c>
      <c r="AJ21" s="66">
        <v>3</v>
      </c>
      <c r="AK21" s="67">
        <v>5</v>
      </c>
      <c r="AL21" s="68">
        <v>5</v>
      </c>
      <c r="AM21" s="69">
        <v>9</v>
      </c>
      <c r="AN21" s="70" t="s">
        <v>117</v>
      </c>
      <c r="AO21" s="72" t="s">
        <v>108</v>
      </c>
    </row>
    <row r="22" spans="1:41" s="13" customFormat="1" ht="30" customHeight="1" x14ac:dyDescent="0.35">
      <c r="A22" s="6"/>
      <c r="B22" s="62">
        <v>8</v>
      </c>
      <c r="C22" s="63">
        <v>100432</v>
      </c>
      <c r="D22" s="64" t="s">
        <v>39</v>
      </c>
      <c r="E22" s="65"/>
      <c r="F22" s="355" t="s">
        <v>17</v>
      </c>
      <c r="G22" s="342" t="s">
        <v>17</v>
      </c>
      <c r="H22" s="356" t="s">
        <v>23</v>
      </c>
      <c r="I22" s="348" t="s">
        <v>23</v>
      </c>
      <c r="J22" s="338" t="s">
        <v>24</v>
      </c>
      <c r="K22" s="343" t="s">
        <v>25</v>
      </c>
      <c r="L22" s="343" t="s">
        <v>17</v>
      </c>
      <c r="M22" s="342" t="s">
        <v>25</v>
      </c>
      <c r="N22" s="342" t="s">
        <v>25</v>
      </c>
      <c r="O22" s="342" t="s">
        <v>17</v>
      </c>
      <c r="P22" s="348" t="s">
        <v>23</v>
      </c>
      <c r="Q22" s="342" t="s">
        <v>17</v>
      </c>
      <c r="R22" s="343" t="s">
        <v>25</v>
      </c>
      <c r="S22" s="343" t="s">
        <v>17</v>
      </c>
      <c r="T22" s="348" t="s">
        <v>23</v>
      </c>
      <c r="U22" s="342" t="s">
        <v>25</v>
      </c>
      <c r="V22" s="342" t="s">
        <v>17</v>
      </c>
      <c r="W22" s="348" t="s">
        <v>23</v>
      </c>
      <c r="X22" s="341" t="s">
        <v>24</v>
      </c>
      <c r="Y22" s="340" t="s">
        <v>17</v>
      </c>
      <c r="Z22" s="329" t="s">
        <v>23</v>
      </c>
      <c r="AA22" s="342" t="s">
        <v>120</v>
      </c>
      <c r="AB22" s="348" t="s">
        <v>23</v>
      </c>
      <c r="AC22" s="348" t="s">
        <v>23</v>
      </c>
      <c r="AD22" s="342" t="s">
        <v>121</v>
      </c>
      <c r="AE22" s="341" t="s">
        <v>24</v>
      </c>
      <c r="AF22" s="344" t="s">
        <v>17</v>
      </c>
      <c r="AG22" s="344" t="s">
        <v>17</v>
      </c>
      <c r="AH22" s="341" t="s">
        <v>24</v>
      </c>
      <c r="AI22" s="341" t="s">
        <v>24</v>
      </c>
      <c r="AJ22" s="66">
        <v>8</v>
      </c>
      <c r="AK22" s="67">
        <v>5</v>
      </c>
      <c r="AL22" s="68">
        <v>5</v>
      </c>
      <c r="AM22" s="69">
        <v>10</v>
      </c>
      <c r="AN22" s="70" t="s">
        <v>116</v>
      </c>
      <c r="AO22" s="73" t="s">
        <v>96</v>
      </c>
    </row>
    <row r="23" spans="1:41" s="13" customFormat="1" ht="21.75" customHeight="1" thickBot="1" x14ac:dyDescent="0.3">
      <c r="A23" s="6"/>
      <c r="B23" s="74"/>
      <c r="C23" s="75"/>
      <c r="D23" s="76"/>
      <c r="E23" s="77"/>
      <c r="F23" s="81"/>
      <c r="G23" s="82"/>
      <c r="H23" s="79"/>
      <c r="I23" s="79"/>
      <c r="J23" s="79"/>
      <c r="K23" s="84"/>
      <c r="L23" s="312"/>
      <c r="M23" s="81"/>
      <c r="N23" s="79"/>
      <c r="O23" s="79"/>
      <c r="P23" s="79"/>
      <c r="Q23" s="79"/>
      <c r="R23" s="84"/>
      <c r="S23" s="312"/>
      <c r="T23" s="81"/>
      <c r="U23" s="79"/>
      <c r="V23" s="79"/>
      <c r="W23" s="80"/>
      <c r="X23" s="80"/>
      <c r="Y23" s="84"/>
      <c r="Z23" s="312"/>
      <c r="AA23" s="81"/>
      <c r="AB23" s="82"/>
      <c r="AC23" s="82"/>
      <c r="AD23" s="82"/>
      <c r="AE23" s="82"/>
      <c r="AF23" s="78"/>
      <c r="AG23" s="313"/>
      <c r="AH23" s="83"/>
      <c r="AI23" s="309"/>
      <c r="AJ23" s="85"/>
      <c r="AK23" s="86"/>
      <c r="AL23" s="86"/>
      <c r="AM23" s="87"/>
      <c r="AN23" s="88"/>
      <c r="AO23" s="89"/>
    </row>
    <row r="24" spans="1:41" s="13" customFormat="1" ht="15.75" x14ac:dyDescent="0.25">
      <c r="A24" s="6"/>
      <c r="B24" s="90"/>
      <c r="C24" s="91"/>
      <c r="D24" s="92"/>
      <c r="E24" s="93" t="s">
        <v>40</v>
      </c>
      <c r="F24" s="94">
        <v>3</v>
      </c>
      <c r="G24" s="95">
        <v>3</v>
      </c>
      <c r="H24" s="95">
        <v>3</v>
      </c>
      <c r="I24" s="95">
        <v>3</v>
      </c>
      <c r="J24" s="95">
        <v>3</v>
      </c>
      <c r="K24" s="95">
        <v>2</v>
      </c>
      <c r="L24" s="95">
        <v>1</v>
      </c>
      <c r="M24" s="95">
        <v>3</v>
      </c>
      <c r="N24" s="95">
        <v>3</v>
      </c>
      <c r="O24" s="95">
        <v>2</v>
      </c>
      <c r="P24" s="95">
        <v>3</v>
      </c>
      <c r="Q24" s="95">
        <v>2</v>
      </c>
      <c r="R24" s="95">
        <v>2</v>
      </c>
      <c r="S24" s="95">
        <v>1</v>
      </c>
      <c r="T24" s="95">
        <v>3</v>
      </c>
      <c r="U24" s="95">
        <v>2</v>
      </c>
      <c r="V24" s="95">
        <v>3</v>
      </c>
      <c r="W24" s="95">
        <v>3</v>
      </c>
      <c r="X24" s="95">
        <v>3</v>
      </c>
      <c r="Y24" s="95">
        <v>2</v>
      </c>
      <c r="Z24" s="95">
        <v>2</v>
      </c>
      <c r="AA24" s="95">
        <v>2</v>
      </c>
      <c r="AB24" s="95">
        <v>2</v>
      </c>
      <c r="AC24" s="95">
        <v>3</v>
      </c>
      <c r="AD24" s="95">
        <v>3</v>
      </c>
      <c r="AE24" s="95">
        <v>2</v>
      </c>
      <c r="AF24" s="95">
        <v>2</v>
      </c>
      <c r="AG24" s="95">
        <v>1</v>
      </c>
      <c r="AH24" s="95">
        <v>2</v>
      </c>
      <c r="AI24" s="95">
        <v>2</v>
      </c>
      <c r="AJ24" s="96"/>
      <c r="AK24" s="96"/>
      <c r="AL24" s="96"/>
      <c r="AM24" s="96"/>
      <c r="AN24" s="96"/>
      <c r="AO24" s="6"/>
    </row>
    <row r="25" spans="1:41" s="13" customFormat="1" ht="15.75" x14ac:dyDescent="0.25">
      <c r="A25" s="6"/>
      <c r="B25" s="97"/>
      <c r="C25" s="98"/>
      <c r="D25" s="99"/>
      <c r="E25" s="100" t="s">
        <v>41</v>
      </c>
      <c r="F25" s="100">
        <f t="shared" ref="F25:AG25" si="0">COUNTIF(F14:F24,"B")</f>
        <v>1</v>
      </c>
      <c r="G25" s="100">
        <f t="shared" si="0"/>
        <v>1</v>
      </c>
      <c r="H25" s="100">
        <f t="shared" si="0"/>
        <v>1</v>
      </c>
      <c r="I25" s="100">
        <f t="shared" si="0"/>
        <v>1</v>
      </c>
      <c r="J25" s="100">
        <f t="shared" si="0"/>
        <v>1</v>
      </c>
      <c r="K25" s="100">
        <f t="shared" si="0"/>
        <v>1</v>
      </c>
      <c r="L25" s="100">
        <f t="shared" si="0"/>
        <v>1</v>
      </c>
      <c r="M25" s="100">
        <f t="shared" si="0"/>
        <v>2</v>
      </c>
      <c r="N25" s="100">
        <f t="shared" si="0"/>
        <v>2</v>
      </c>
      <c r="O25" s="100">
        <f t="shared" si="0"/>
        <v>2</v>
      </c>
      <c r="P25" s="100">
        <f t="shared" si="0"/>
        <v>2</v>
      </c>
      <c r="Q25" s="100">
        <f t="shared" si="0"/>
        <v>2</v>
      </c>
      <c r="R25" s="100">
        <f t="shared" si="0"/>
        <v>1</v>
      </c>
      <c r="S25" s="100">
        <f t="shared" si="0"/>
        <v>1</v>
      </c>
      <c r="T25" s="100">
        <f t="shared" si="0"/>
        <v>2</v>
      </c>
      <c r="U25" s="100">
        <f t="shared" si="0"/>
        <v>1</v>
      </c>
      <c r="V25" s="100">
        <f t="shared" si="0"/>
        <v>2</v>
      </c>
      <c r="W25" s="100">
        <f t="shared" si="0"/>
        <v>1</v>
      </c>
      <c r="X25" s="100">
        <f t="shared" si="0"/>
        <v>2</v>
      </c>
      <c r="Y25" s="100">
        <f t="shared" si="0"/>
        <v>1</v>
      </c>
      <c r="Z25" s="100">
        <f t="shared" si="0"/>
        <v>1</v>
      </c>
      <c r="AA25" s="100">
        <f t="shared" si="0"/>
        <v>1</v>
      </c>
      <c r="AB25" s="100">
        <f t="shared" si="0"/>
        <v>1</v>
      </c>
      <c r="AC25" s="100">
        <f t="shared" si="0"/>
        <v>2</v>
      </c>
      <c r="AD25" s="100">
        <f t="shared" si="0"/>
        <v>1</v>
      </c>
      <c r="AE25" s="100">
        <f t="shared" si="0"/>
        <v>2</v>
      </c>
      <c r="AF25" s="100">
        <f t="shared" si="0"/>
        <v>1</v>
      </c>
      <c r="AG25" s="100">
        <f t="shared" si="0"/>
        <v>1</v>
      </c>
      <c r="AH25" s="100">
        <v>2</v>
      </c>
      <c r="AI25" s="100">
        <v>2</v>
      </c>
      <c r="AJ25" s="101"/>
      <c r="AK25" s="101"/>
      <c r="AL25" s="101"/>
      <c r="AM25" s="101"/>
      <c r="AN25" s="101"/>
      <c r="AO25" s="6"/>
    </row>
    <row r="26" spans="1:41" s="13" customFormat="1" ht="15.75" x14ac:dyDescent="0.25">
      <c r="A26" s="6"/>
      <c r="B26" s="97"/>
      <c r="C26" s="98"/>
      <c r="D26" s="99"/>
      <c r="E26" s="102" t="s">
        <v>35</v>
      </c>
      <c r="F26" s="102">
        <f t="shared" ref="F26:AB26" si="1">COUNTIF(F14:F25,"C")</f>
        <v>1</v>
      </c>
      <c r="G26" s="102">
        <f t="shared" si="1"/>
        <v>1</v>
      </c>
      <c r="H26" s="102">
        <f t="shared" si="1"/>
        <v>1</v>
      </c>
      <c r="I26" s="102">
        <f t="shared" si="1"/>
        <v>1</v>
      </c>
      <c r="J26" s="102">
        <f t="shared" si="1"/>
        <v>1</v>
      </c>
      <c r="K26" s="102">
        <f t="shared" si="1"/>
        <v>1</v>
      </c>
      <c r="L26" s="102">
        <f t="shared" si="1"/>
        <v>1</v>
      </c>
      <c r="M26" s="102">
        <f t="shared" si="1"/>
        <v>1</v>
      </c>
      <c r="N26" s="102">
        <f t="shared" si="1"/>
        <v>1</v>
      </c>
      <c r="O26" s="102">
        <f t="shared" si="1"/>
        <v>1</v>
      </c>
      <c r="P26" s="102">
        <f t="shared" si="1"/>
        <v>1</v>
      </c>
      <c r="Q26" s="102">
        <f t="shared" si="1"/>
        <v>1</v>
      </c>
      <c r="R26" s="102">
        <f t="shared" si="1"/>
        <v>1</v>
      </c>
      <c r="S26" s="102">
        <f t="shared" si="1"/>
        <v>1</v>
      </c>
      <c r="T26" s="102">
        <f t="shared" si="1"/>
        <v>1</v>
      </c>
      <c r="U26" s="102">
        <f t="shared" si="1"/>
        <v>1</v>
      </c>
      <c r="V26" s="102">
        <f t="shared" si="1"/>
        <v>1</v>
      </c>
      <c r="W26" s="102">
        <f t="shared" si="1"/>
        <v>1</v>
      </c>
      <c r="X26" s="102">
        <f t="shared" si="1"/>
        <v>1</v>
      </c>
      <c r="Y26" s="102">
        <f t="shared" si="1"/>
        <v>1</v>
      </c>
      <c r="Z26" s="102">
        <f t="shared" si="1"/>
        <v>1</v>
      </c>
      <c r="AA26" s="102">
        <f t="shared" si="1"/>
        <v>1</v>
      </c>
      <c r="AB26" s="102">
        <f t="shared" si="1"/>
        <v>1</v>
      </c>
      <c r="AC26" s="102">
        <v>1</v>
      </c>
      <c r="AD26" s="102">
        <f t="shared" ref="AD26:AI26" si="2">COUNTIF(AD14:AD25,"C")</f>
        <v>1</v>
      </c>
      <c r="AE26" s="102">
        <f t="shared" si="2"/>
        <v>1</v>
      </c>
      <c r="AF26" s="102">
        <f t="shared" si="2"/>
        <v>1</v>
      </c>
      <c r="AG26" s="102">
        <f t="shared" si="2"/>
        <v>1</v>
      </c>
      <c r="AH26" s="102">
        <v>1</v>
      </c>
      <c r="AI26" s="102">
        <f t="shared" si="2"/>
        <v>1</v>
      </c>
      <c r="AJ26" s="101"/>
      <c r="AK26" s="101"/>
      <c r="AL26" s="101"/>
      <c r="AM26" s="101"/>
      <c r="AN26" s="101"/>
      <c r="AO26" s="6"/>
    </row>
    <row r="27" spans="1:41" s="13" customFormat="1" ht="13.5" thickBot="1" x14ac:dyDescent="0.25">
      <c r="A27" s="6"/>
      <c r="B27" s="97"/>
      <c r="C27" s="98"/>
      <c r="D27" s="99"/>
      <c r="E27" s="103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1"/>
      <c r="AK27" s="101"/>
      <c r="AL27" s="101"/>
      <c r="AM27" s="101"/>
      <c r="AN27" s="101"/>
      <c r="AO27" s="6"/>
    </row>
    <row r="28" spans="1:41" s="13" customFormat="1" ht="17.25" customHeight="1" x14ac:dyDescent="0.2">
      <c r="A28" s="6"/>
      <c r="B28" s="105"/>
      <c r="C28" s="106"/>
      <c r="D28" s="107"/>
      <c r="E28" s="107"/>
      <c r="F28" s="107"/>
      <c r="G28" s="107"/>
      <c r="H28" s="107"/>
      <c r="I28" s="108"/>
      <c r="J28" s="108"/>
      <c r="K28" s="108" t="s">
        <v>42</v>
      </c>
      <c r="L28" s="108"/>
      <c r="M28" s="108"/>
      <c r="N28" s="108"/>
      <c r="O28" s="108"/>
      <c r="P28" s="108"/>
      <c r="Q28" s="108"/>
      <c r="R28" s="108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9"/>
      <c r="AJ28" s="107"/>
      <c r="AK28" s="107"/>
      <c r="AL28" s="107"/>
      <c r="AM28" s="107"/>
      <c r="AN28" s="106"/>
      <c r="AO28" s="110" t="s">
        <v>21</v>
      </c>
    </row>
    <row r="29" spans="1:41" s="13" customFormat="1" ht="21" customHeight="1" thickBot="1" x14ac:dyDescent="0.4">
      <c r="A29" s="6"/>
      <c r="B29" s="111">
        <v>1</v>
      </c>
      <c r="C29" s="357" t="s">
        <v>43</v>
      </c>
      <c r="D29" s="358" t="s">
        <v>44</v>
      </c>
      <c r="E29" s="359"/>
      <c r="F29" s="49" t="s">
        <v>23</v>
      </c>
      <c r="G29" s="34" t="s">
        <v>23</v>
      </c>
      <c r="H29" s="34" t="s">
        <v>23</v>
      </c>
      <c r="I29" s="34" t="s">
        <v>23</v>
      </c>
      <c r="J29" s="34" t="s">
        <v>23</v>
      </c>
      <c r="K29" s="35" t="s">
        <v>99</v>
      </c>
      <c r="L29" s="35" t="s">
        <v>17</v>
      </c>
      <c r="M29" s="34" t="s">
        <v>23</v>
      </c>
      <c r="N29" s="34" t="s">
        <v>23</v>
      </c>
      <c r="O29" s="34" t="s">
        <v>23</v>
      </c>
      <c r="P29" s="34"/>
      <c r="Q29" s="34"/>
      <c r="R29" s="60"/>
      <c r="S29" s="60"/>
      <c r="T29" s="34"/>
      <c r="U29" s="50"/>
      <c r="V29" s="50"/>
      <c r="W29" s="34"/>
      <c r="X29" s="34"/>
      <c r="Y29" s="60"/>
      <c r="Z29" s="60"/>
      <c r="AA29" s="34"/>
      <c r="AB29" s="50"/>
      <c r="AC29" s="50"/>
      <c r="AD29" s="34"/>
      <c r="AE29" s="34"/>
      <c r="AF29" s="60"/>
      <c r="AG29" s="60"/>
      <c r="AH29" s="34"/>
      <c r="AI29" s="50"/>
      <c r="AJ29" s="112">
        <v>8</v>
      </c>
      <c r="AK29" s="112">
        <v>0</v>
      </c>
      <c r="AL29" s="112">
        <v>0</v>
      </c>
      <c r="AM29" s="112">
        <v>2</v>
      </c>
      <c r="AN29" s="113"/>
      <c r="AO29" s="89" t="s">
        <v>45</v>
      </c>
    </row>
    <row r="30" spans="1:41" s="13" customFormat="1" ht="20.25" customHeight="1" thickBot="1" x14ac:dyDescent="0.25">
      <c r="A30" s="6"/>
      <c r="B30" s="114">
        <v>2</v>
      </c>
      <c r="C30" s="115"/>
      <c r="D30" s="116"/>
      <c r="E30" s="117"/>
      <c r="F30" s="122"/>
      <c r="G30" s="314"/>
      <c r="H30" s="314"/>
      <c r="I30" s="118"/>
      <c r="J30" s="119"/>
      <c r="K30" s="123"/>
      <c r="L30" s="123"/>
      <c r="M30" s="120"/>
      <c r="N30" s="121"/>
      <c r="O30" s="315"/>
      <c r="P30" s="121"/>
      <c r="Q30" s="119"/>
      <c r="R30" s="316"/>
      <c r="S30" s="317"/>
      <c r="T30" s="122"/>
      <c r="U30" s="120"/>
      <c r="V30" s="314"/>
      <c r="W30" s="124"/>
      <c r="X30" s="124"/>
      <c r="Y30" s="316"/>
      <c r="Z30" s="317"/>
      <c r="AA30" s="119"/>
      <c r="AB30" s="118"/>
      <c r="AC30" s="118"/>
      <c r="AD30" s="121"/>
      <c r="AE30" s="119"/>
      <c r="AF30" s="317"/>
      <c r="AG30" s="316"/>
      <c r="AH30" s="122"/>
      <c r="AI30" s="120"/>
      <c r="AJ30" s="125"/>
      <c r="AK30" s="125"/>
      <c r="AL30" s="125"/>
      <c r="AM30" s="125"/>
      <c r="AN30" s="125"/>
      <c r="AO30" s="126"/>
    </row>
    <row r="31" spans="1:41" s="13" customFormat="1" ht="21" x14ac:dyDescent="0.35">
      <c r="A31" s="6"/>
      <c r="B31" s="7"/>
      <c r="C31" s="8"/>
      <c r="D31" s="6"/>
      <c r="E31" s="6"/>
      <c r="F31" s="127"/>
      <c r="G31" s="128"/>
      <c r="H31" s="129"/>
      <c r="I31" s="129"/>
      <c r="J31" s="128"/>
      <c r="K31" s="129"/>
      <c r="L31" s="129"/>
      <c r="M31" s="129"/>
      <c r="N31" s="129"/>
      <c r="O31" s="128"/>
      <c r="P31" s="129"/>
      <c r="Q31" s="128"/>
      <c r="R31" s="128"/>
      <c r="S31" s="129"/>
      <c r="T31" s="129"/>
      <c r="U31" s="129"/>
      <c r="V31" s="129"/>
      <c r="W31" s="129"/>
      <c r="X31" s="129"/>
      <c r="Y31" s="128"/>
      <c r="Z31" s="6"/>
      <c r="AA31" s="6"/>
      <c r="AB31" s="130"/>
      <c r="AC31" s="6"/>
      <c r="AD31" s="6"/>
      <c r="AE31" s="6"/>
      <c r="AF31" s="6"/>
      <c r="AG31" s="131"/>
      <c r="AH31" s="131"/>
      <c r="AI31" s="131"/>
      <c r="AJ31" s="7"/>
      <c r="AK31" s="7"/>
      <c r="AL31" s="7"/>
      <c r="AM31" s="7"/>
      <c r="AN31" s="7"/>
      <c r="AO31" s="6"/>
    </row>
    <row r="32" spans="1:41" s="13" customFormat="1" ht="18.75" customHeight="1" x14ac:dyDescent="0.35">
      <c r="A32" s="6"/>
      <c r="B32" s="7"/>
      <c r="C32" s="8"/>
      <c r="D32" s="6"/>
      <c r="E32" s="6"/>
      <c r="F32" s="6"/>
      <c r="G32" s="7"/>
      <c r="H32" s="129"/>
      <c r="I32" s="129"/>
      <c r="J32" s="128"/>
      <c r="K32" s="129"/>
      <c r="L32" s="129"/>
      <c r="M32" s="129"/>
      <c r="N32" s="129"/>
      <c r="O32" s="128"/>
      <c r="P32" s="129"/>
      <c r="Q32" s="128"/>
      <c r="R32" s="128"/>
      <c r="S32" s="129"/>
      <c r="T32" s="129"/>
      <c r="U32" s="6"/>
      <c r="V32" s="6"/>
      <c r="W32" s="6"/>
      <c r="X32" s="6"/>
      <c r="Y32" s="7"/>
      <c r="Z32" s="6"/>
      <c r="AA32" s="6"/>
      <c r="AB32" s="130"/>
      <c r="AC32" s="6"/>
      <c r="AD32" s="6"/>
      <c r="AE32" s="6"/>
      <c r="AF32" s="6"/>
      <c r="AG32" s="6"/>
      <c r="AH32" s="6"/>
      <c r="AI32" s="6"/>
      <c r="AJ32" s="7"/>
      <c r="AK32" s="7"/>
      <c r="AL32" s="7"/>
      <c r="AM32" s="7"/>
      <c r="AN32" s="7"/>
      <c r="AO32" s="132"/>
    </row>
    <row r="33" spans="1:42" s="13" customFormat="1" ht="18.75" customHeight="1" x14ac:dyDescent="0.2">
      <c r="A33" s="6"/>
      <c r="B33" s="7"/>
      <c r="C33" s="8"/>
      <c r="D33" s="6"/>
      <c r="E33" s="6"/>
      <c r="F33" s="6"/>
      <c r="G33" s="7"/>
      <c r="H33" s="6"/>
      <c r="I33" s="6"/>
      <c r="J33" s="7"/>
      <c r="K33" s="6"/>
      <c r="L33" s="6"/>
      <c r="M33" s="6"/>
      <c r="N33" s="6"/>
      <c r="O33" s="7"/>
      <c r="P33" s="6"/>
      <c r="Q33" s="7"/>
      <c r="R33" s="7"/>
      <c r="S33" s="6"/>
      <c r="T33" s="6"/>
      <c r="U33" s="6"/>
      <c r="V33" s="6"/>
      <c r="W33" s="133"/>
      <c r="X33" s="6"/>
      <c r="Y33" s="7"/>
      <c r="Z33" s="6"/>
      <c r="AA33" s="6"/>
      <c r="AB33" s="130"/>
      <c r="AC33" s="6"/>
      <c r="AD33" s="6"/>
      <c r="AE33" s="6"/>
      <c r="AF33" s="6"/>
      <c r="AG33" s="6"/>
      <c r="AH33" s="6"/>
      <c r="AI33" s="6"/>
      <c r="AJ33" s="7"/>
      <c r="AK33" s="7"/>
      <c r="AL33" s="7"/>
      <c r="AM33" s="7"/>
      <c r="AN33" s="134"/>
      <c r="AO33" s="135" t="s">
        <v>46</v>
      </c>
    </row>
    <row r="34" spans="1:42" s="13" customFormat="1" ht="18.75" customHeight="1" x14ac:dyDescent="0.2">
      <c r="A34" s="6"/>
      <c r="B34" s="7"/>
      <c r="C34" s="8"/>
      <c r="D34" s="6"/>
      <c r="E34" s="6"/>
      <c r="F34" s="6"/>
      <c r="G34" s="7"/>
      <c r="H34" s="6"/>
      <c r="I34" s="6"/>
      <c r="J34" s="7"/>
      <c r="K34" s="6"/>
      <c r="L34" s="6"/>
      <c r="M34" s="6"/>
      <c r="N34" s="6"/>
      <c r="O34" s="7"/>
      <c r="P34" s="6"/>
      <c r="Q34" s="7"/>
      <c r="R34" s="7"/>
      <c r="S34" s="6"/>
      <c r="T34" s="6"/>
      <c r="U34" s="6"/>
      <c r="V34" s="6"/>
      <c r="W34" s="133"/>
      <c r="X34" s="6"/>
      <c r="Y34" s="7"/>
      <c r="Z34" s="6"/>
      <c r="AA34" s="6"/>
      <c r="AB34" s="130"/>
      <c r="AC34" s="6"/>
      <c r="AD34" s="6"/>
      <c r="AE34" s="6"/>
      <c r="AF34" s="6"/>
      <c r="AG34" s="6"/>
      <c r="AH34" s="6"/>
      <c r="AI34" s="6"/>
      <c r="AJ34" s="7"/>
      <c r="AK34" s="7"/>
      <c r="AL34" s="7"/>
      <c r="AM34" s="7"/>
      <c r="AN34" s="335"/>
      <c r="AO34" s="135"/>
    </row>
    <row r="35" spans="1:42" s="13" customFormat="1" ht="18.75" customHeight="1" x14ac:dyDescent="0.2">
      <c r="A35" s="6"/>
      <c r="B35" s="7"/>
      <c r="C35" s="8"/>
      <c r="D35" s="6"/>
      <c r="E35" s="6"/>
      <c r="F35" s="6"/>
      <c r="G35" s="7"/>
      <c r="H35" s="6"/>
      <c r="I35" s="6"/>
      <c r="J35" s="7"/>
      <c r="K35" s="6"/>
      <c r="L35" s="6"/>
      <c r="M35" s="6"/>
      <c r="N35" s="6"/>
      <c r="O35" s="7"/>
      <c r="P35" s="6"/>
      <c r="Q35" s="7"/>
      <c r="R35" s="7"/>
      <c r="S35" s="6"/>
      <c r="T35" s="6"/>
      <c r="U35" s="6"/>
      <c r="V35" s="6"/>
      <c r="W35" s="133"/>
      <c r="X35" s="6"/>
      <c r="Y35" s="7"/>
      <c r="Z35" s="6"/>
      <c r="AA35" s="6"/>
      <c r="AB35" s="130"/>
      <c r="AC35" s="6"/>
      <c r="AD35" s="6"/>
      <c r="AE35" s="6"/>
      <c r="AF35" s="6"/>
      <c r="AG35" s="6"/>
      <c r="AH35" s="6"/>
      <c r="AI35" s="6"/>
      <c r="AJ35" s="7"/>
      <c r="AK35" s="7"/>
      <c r="AL35" s="7"/>
      <c r="AM35" s="7"/>
      <c r="AN35" s="335"/>
      <c r="AO35" s="135"/>
    </row>
    <row r="36" spans="1:42" ht="21" x14ac:dyDescent="0.35">
      <c r="A36" s="1"/>
      <c r="B36" s="2"/>
      <c r="C36" s="136" t="s">
        <v>47</v>
      </c>
      <c r="D36" s="1"/>
      <c r="E36" s="136" t="s">
        <v>48</v>
      </c>
      <c r="F36" s="136"/>
      <c r="G36" s="137"/>
      <c r="H36" s="137"/>
      <c r="I36" s="137"/>
      <c r="J36" s="137"/>
      <c r="K36" s="137"/>
      <c r="L36" s="137"/>
      <c r="M36" s="137"/>
      <c r="N36" s="136" t="s">
        <v>49</v>
      </c>
      <c r="O36" s="136"/>
      <c r="P36" s="136"/>
      <c r="Q36" s="136"/>
      <c r="R36" s="136"/>
      <c r="S36" s="136"/>
      <c r="T36" s="136"/>
      <c r="U36" s="136"/>
      <c r="V36" s="1"/>
      <c r="W36" s="136" t="s">
        <v>47</v>
      </c>
      <c r="X36" s="136"/>
      <c r="Y36" s="136"/>
      <c r="Z36" s="136"/>
      <c r="AA36" s="136"/>
      <c r="AB36" s="136"/>
      <c r="AC36" s="136"/>
      <c r="AD36" s="136"/>
      <c r="AE36" s="1"/>
      <c r="AF36" s="1"/>
      <c r="AG36" s="136" t="s">
        <v>47</v>
      </c>
      <c r="AH36" s="136"/>
      <c r="AI36" s="138"/>
      <c r="AJ36" s="139"/>
      <c r="AK36" s="1"/>
      <c r="AL36" s="1"/>
      <c r="AM36" s="1"/>
      <c r="AN36" s="1"/>
      <c r="AO36" s="1"/>
    </row>
    <row r="37" spans="1:42" s="147" customFormat="1" x14ac:dyDescent="0.25">
      <c r="A37" s="140"/>
      <c r="B37" s="141"/>
      <c r="C37" s="142" t="s">
        <v>50</v>
      </c>
      <c r="D37" s="143"/>
      <c r="E37" s="142" t="s">
        <v>51</v>
      </c>
      <c r="F37" s="142"/>
      <c r="G37" s="144"/>
      <c r="H37" s="144"/>
      <c r="I37" s="144"/>
      <c r="J37" s="144"/>
      <c r="K37" s="144"/>
      <c r="L37" s="144"/>
      <c r="M37" s="144"/>
      <c r="N37" s="142" t="s">
        <v>52</v>
      </c>
      <c r="O37" s="142"/>
      <c r="P37" s="142"/>
      <c r="Q37" s="142"/>
      <c r="R37" s="142"/>
      <c r="S37" s="142"/>
      <c r="T37" s="142"/>
      <c r="U37" s="142"/>
      <c r="V37" s="143"/>
      <c r="W37" s="142" t="s">
        <v>53</v>
      </c>
      <c r="X37" s="142"/>
      <c r="Y37" s="142"/>
      <c r="Z37" s="142"/>
      <c r="AA37" s="142"/>
      <c r="AB37" s="142"/>
      <c r="AC37" s="142"/>
      <c r="AD37" s="142"/>
      <c r="AE37" s="143"/>
      <c r="AF37" s="143"/>
      <c r="AG37" s="145" t="s">
        <v>54</v>
      </c>
      <c r="AH37" s="145"/>
      <c r="AI37" s="142"/>
      <c r="AJ37" s="146"/>
      <c r="AK37" s="143"/>
      <c r="AL37" s="143"/>
      <c r="AM37" s="140"/>
      <c r="AN37" s="143"/>
      <c r="AO37" s="144" t="s">
        <v>55</v>
      </c>
      <c r="AP37" s="144"/>
    </row>
    <row r="38" spans="1:42" s="147" customFormat="1" x14ac:dyDescent="0.25">
      <c r="A38" s="140"/>
      <c r="B38" s="141"/>
      <c r="C38" s="142" t="s">
        <v>56</v>
      </c>
      <c r="D38" s="143"/>
      <c r="E38" s="142" t="s">
        <v>57</v>
      </c>
      <c r="F38" s="142"/>
      <c r="G38" s="144"/>
      <c r="H38" s="144"/>
      <c r="I38" s="144"/>
      <c r="J38" s="144"/>
      <c r="K38" s="144"/>
      <c r="L38" s="144"/>
      <c r="M38" s="144"/>
      <c r="N38" s="142" t="s">
        <v>58</v>
      </c>
      <c r="O38" s="142"/>
      <c r="P38" s="142"/>
      <c r="Q38" s="142"/>
      <c r="R38" s="142"/>
      <c r="S38" s="142"/>
      <c r="T38" s="142"/>
      <c r="U38" s="142"/>
      <c r="V38" s="143"/>
      <c r="W38" s="142" t="s">
        <v>59</v>
      </c>
      <c r="X38" s="142"/>
      <c r="Y38" s="142"/>
      <c r="Z38" s="142"/>
      <c r="AA38" s="142"/>
      <c r="AB38" s="142"/>
      <c r="AC38" s="142"/>
      <c r="AD38" s="142"/>
      <c r="AE38" s="143"/>
      <c r="AF38" s="143"/>
      <c r="AG38" s="145" t="s">
        <v>60</v>
      </c>
      <c r="AH38" s="145"/>
      <c r="AI38" s="142"/>
      <c r="AJ38" s="148"/>
      <c r="AK38" s="143"/>
      <c r="AL38" s="143"/>
      <c r="AM38" s="140"/>
      <c r="AN38" s="143"/>
      <c r="AO38" s="144" t="s">
        <v>61</v>
      </c>
      <c r="AP38" s="144"/>
    </row>
    <row r="39" spans="1:42" s="147" customFormat="1" ht="14.25" x14ac:dyDescent="0.2">
      <c r="A39" s="140"/>
      <c r="B39" s="141"/>
      <c r="C39" s="149"/>
      <c r="D39" s="150"/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3"/>
      <c r="AN39" s="143"/>
      <c r="AO39" s="144"/>
      <c r="AP39" s="144"/>
    </row>
    <row r="40" spans="1:42" x14ac:dyDescent="0.25">
      <c r="A40" s="1"/>
      <c r="B40" s="2"/>
      <c r="C40" s="1"/>
      <c r="D40" s="1"/>
      <c r="E40" s="1"/>
      <c r="F40" s="1"/>
      <c r="G40" s="2"/>
      <c r="H40" s="1"/>
      <c r="I40" s="1"/>
      <c r="J40" s="2"/>
      <c r="K40" s="1"/>
      <c r="L40" s="1"/>
      <c r="M40" s="1"/>
      <c r="N40" s="1"/>
      <c r="O40" s="2"/>
      <c r="P40" s="1"/>
      <c r="Q40" s="2"/>
      <c r="R40" s="2"/>
      <c r="S40" s="1"/>
      <c r="T40" s="1"/>
      <c r="U40" s="1"/>
      <c r="V40" s="1"/>
      <c r="W40" s="1"/>
      <c r="X40" s="1"/>
      <c r="Y40" s="2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2"/>
      <c r="AK40" s="2"/>
      <c r="AL40" s="2"/>
      <c r="AM40" s="2"/>
      <c r="AN40" s="143"/>
      <c r="AO40" s="144" t="s">
        <v>62</v>
      </c>
      <c r="AP40" s="144"/>
    </row>
    <row r="41" spans="1:42" x14ac:dyDescent="0.25">
      <c r="A41" s="1"/>
      <c r="B41" s="2"/>
      <c r="C41" s="1"/>
      <c r="D41" s="1"/>
      <c r="E41" s="1"/>
      <c r="F41" s="1"/>
      <c r="G41" s="2"/>
      <c r="H41" s="1"/>
      <c r="I41" s="1"/>
      <c r="J41" s="2"/>
      <c r="K41" s="1"/>
      <c r="L41" s="1"/>
      <c r="M41" s="1"/>
      <c r="N41" s="1"/>
      <c r="O41" s="2"/>
      <c r="P41" s="1"/>
      <c r="Q41" s="2"/>
      <c r="R41" s="2"/>
      <c r="S41" s="1"/>
      <c r="T41" s="1"/>
      <c r="U41" s="1"/>
      <c r="V41" s="1"/>
      <c r="W41" s="1"/>
      <c r="X41" s="1"/>
      <c r="Y41" s="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2"/>
      <c r="AK41" s="2"/>
      <c r="AL41" s="2"/>
      <c r="AM41" s="2"/>
      <c r="AO41" s="144"/>
      <c r="AP41" s="144"/>
    </row>
    <row r="42" spans="1:42" ht="20.25" x14ac:dyDescent="0.3">
      <c r="A42" s="1"/>
      <c r="B42" s="2"/>
      <c r="C42" s="3"/>
      <c r="D42" s="1"/>
      <c r="E42" s="1"/>
      <c r="F42" s="1"/>
      <c r="G42" s="2"/>
      <c r="H42" s="1"/>
      <c r="I42" s="1"/>
      <c r="J42" s="2"/>
      <c r="K42" s="1"/>
      <c r="L42" s="1"/>
      <c r="M42" s="1"/>
      <c r="N42" s="1"/>
      <c r="O42" s="2"/>
      <c r="P42" s="1"/>
      <c r="Q42" s="2"/>
      <c r="R42" s="2"/>
      <c r="S42" s="1"/>
      <c r="T42" s="1"/>
      <c r="U42" s="1"/>
      <c r="V42" s="1"/>
      <c r="W42" s="1"/>
      <c r="X42" s="1"/>
      <c r="Y42" s="2"/>
      <c r="Z42" s="1"/>
      <c r="AA42" s="1"/>
      <c r="AB42" s="1"/>
      <c r="AC42" s="1"/>
      <c r="AD42" s="1"/>
      <c r="AE42" s="1"/>
      <c r="AF42" s="136"/>
      <c r="AG42" s="136"/>
      <c r="AH42" s="136"/>
      <c r="AI42" s="137"/>
      <c r="AJ42" s="2"/>
      <c r="AK42" s="2"/>
      <c r="AL42" s="2"/>
      <c r="AM42" s="2"/>
      <c r="AN42" s="143"/>
      <c r="AO42" s="154" t="s">
        <v>63</v>
      </c>
      <c r="AP42" s="144"/>
    </row>
    <row r="43" spans="1:42" ht="20.25" x14ac:dyDescent="0.3">
      <c r="A43" s="1"/>
      <c r="B43" s="2"/>
      <c r="C43" s="3"/>
      <c r="D43" s="1"/>
      <c r="E43" s="1"/>
      <c r="F43" s="1"/>
      <c r="G43" s="2"/>
      <c r="H43" s="1"/>
      <c r="I43" s="1"/>
      <c r="J43" s="2"/>
      <c r="K43" s="1"/>
      <c r="L43" s="1"/>
      <c r="M43" s="1"/>
      <c r="N43" s="1"/>
      <c r="O43" s="2"/>
      <c r="P43" s="1"/>
      <c r="Q43" s="2"/>
      <c r="R43" s="2"/>
      <c r="S43" s="1"/>
      <c r="T43" s="1"/>
      <c r="U43" s="1"/>
      <c r="V43" s="1"/>
      <c r="W43" s="1"/>
      <c r="X43" s="1"/>
      <c r="Y43" s="2"/>
      <c r="Z43" s="1"/>
      <c r="AA43" s="1"/>
      <c r="AB43" s="1"/>
      <c r="AC43" s="1"/>
      <c r="AD43" s="1"/>
      <c r="AE43" s="1"/>
      <c r="AF43" s="136"/>
      <c r="AG43" s="136"/>
      <c r="AH43" s="136"/>
      <c r="AI43" s="137"/>
      <c r="AJ43" s="2"/>
      <c r="AK43" s="2"/>
      <c r="AL43" s="2"/>
      <c r="AM43" s="2"/>
      <c r="AN43" s="143" t="s">
        <v>64</v>
      </c>
      <c r="AO43" s="144" t="s">
        <v>65</v>
      </c>
      <c r="AP43" s="144"/>
    </row>
    <row r="44" spans="1:42" ht="21" x14ac:dyDescent="0.35">
      <c r="A44" s="1"/>
      <c r="B44" s="2"/>
      <c r="C44" s="3"/>
      <c r="D44" s="155"/>
      <c r="E44" s="155"/>
      <c r="F44" s="155"/>
      <c r="G44" s="156"/>
      <c r="H44" s="155"/>
      <c r="I44" s="155"/>
      <c r="J44" s="156"/>
      <c r="K44" s="155"/>
      <c r="L44" s="155"/>
      <c r="M44" s="155"/>
      <c r="N44" s="155"/>
      <c r="O44" s="156"/>
      <c r="P44" s="155"/>
      <c r="Q44" s="156"/>
      <c r="R44" s="156"/>
      <c r="S44" s="155"/>
      <c r="T44" s="155"/>
      <c r="U44" s="155"/>
      <c r="V44" s="155"/>
      <c r="W44" s="155"/>
      <c r="X44" s="155"/>
      <c r="Y44" s="156"/>
      <c r="Z44" s="155"/>
      <c r="AA44" s="155"/>
      <c r="AB44" s="155"/>
      <c r="AC44" s="155"/>
      <c r="AD44" s="155"/>
      <c r="AE44" s="155"/>
      <c r="AF44" s="136"/>
      <c r="AG44" s="136"/>
      <c r="AH44" s="136"/>
      <c r="AI44" s="137"/>
      <c r="AJ44" s="156"/>
      <c r="AK44" s="156"/>
      <c r="AL44" s="156"/>
      <c r="AM44" s="156"/>
      <c r="AP44" s="144"/>
    </row>
    <row r="45" spans="1:42" ht="15" customHeight="1" x14ac:dyDescent="0.25">
      <c r="A45" s="1"/>
      <c r="B45" s="2"/>
      <c r="C45" s="3"/>
      <c r="D45" s="1"/>
      <c r="E45" s="1"/>
      <c r="F45" s="1"/>
      <c r="G45" s="2"/>
      <c r="H45" s="1"/>
      <c r="I45" s="1"/>
      <c r="J45" s="2"/>
      <c r="K45" s="1"/>
      <c r="L45" s="1"/>
      <c r="M45" s="1"/>
      <c r="N45" s="1"/>
      <c r="O45" s="2"/>
      <c r="P45" s="1"/>
      <c r="Q45" s="2"/>
      <c r="R45" s="2"/>
      <c r="S45" s="1"/>
      <c r="T45" s="1"/>
      <c r="U45" s="1"/>
      <c r="V45" s="1"/>
      <c r="W45" s="1"/>
      <c r="X45" s="1"/>
      <c r="Y45" s="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2"/>
      <c r="AK45" s="2"/>
      <c r="AL45" s="2"/>
      <c r="AM45" s="2"/>
      <c r="AN45" s="143"/>
      <c r="AO45" s="144"/>
      <c r="AP45" s="157"/>
    </row>
    <row r="46" spans="1:42" x14ac:dyDescent="0.25">
      <c r="A46" s="1"/>
      <c r="B46" s="2"/>
      <c r="C46" s="3"/>
      <c r="D46" s="1"/>
      <c r="E46" s="1"/>
      <c r="F46" s="1"/>
      <c r="G46" s="2"/>
      <c r="H46" s="1"/>
      <c r="I46" s="1"/>
      <c r="J46" s="2"/>
      <c r="K46" s="1"/>
      <c r="L46" s="1"/>
      <c r="M46" s="1"/>
      <c r="N46" s="1"/>
      <c r="O46" s="2"/>
      <c r="P46" s="1"/>
      <c r="Q46" s="2"/>
      <c r="R46" s="2"/>
      <c r="S46" s="1"/>
      <c r="T46" s="1"/>
      <c r="U46" s="1"/>
      <c r="V46" s="1"/>
      <c r="W46" s="1"/>
      <c r="X46" s="1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"/>
      <c r="AK46" s="2"/>
      <c r="AL46" s="2"/>
      <c r="AM46" s="2"/>
      <c r="AN46" s="2"/>
      <c r="AO46" s="158"/>
      <c r="AP46" s="157"/>
    </row>
    <row r="47" spans="1:42" x14ac:dyDescent="0.25">
      <c r="A47" s="1"/>
      <c r="B47" s="2"/>
      <c r="C47" s="3"/>
      <c r="D47" s="1"/>
      <c r="E47" s="1"/>
      <c r="F47" s="1"/>
      <c r="G47" s="2"/>
      <c r="H47" s="1"/>
      <c r="I47" s="1"/>
      <c r="J47" s="2"/>
      <c r="K47" s="1"/>
      <c r="L47" s="1"/>
      <c r="M47" s="1"/>
      <c r="N47" s="1"/>
      <c r="O47" s="2"/>
      <c r="P47" s="1"/>
      <c r="Q47" s="2"/>
      <c r="R47" s="2"/>
      <c r="S47" s="1"/>
      <c r="T47" s="1"/>
      <c r="U47" s="1"/>
      <c r="V47" s="1"/>
      <c r="W47" s="1"/>
      <c r="X47" s="1"/>
      <c r="Y47" s="2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2"/>
      <c r="AK47" s="2"/>
      <c r="AL47" s="2"/>
      <c r="AM47" s="2"/>
      <c r="AN47" s="2"/>
      <c r="AO47" s="159"/>
      <c r="AP47" s="157"/>
    </row>
    <row r="48" spans="1:42" x14ac:dyDescent="0.25">
      <c r="A48" s="1"/>
      <c r="B48" s="2"/>
      <c r="C48" s="3"/>
      <c r="D48" s="1"/>
      <c r="E48" s="1"/>
      <c r="F48" s="1"/>
      <c r="G48" s="2"/>
      <c r="H48" s="1"/>
      <c r="I48" s="1"/>
      <c r="J48" s="2"/>
      <c r="K48" s="1"/>
      <c r="L48" s="1"/>
      <c r="M48" s="1"/>
      <c r="N48" s="1"/>
      <c r="O48" s="2"/>
      <c r="P48" s="1"/>
      <c r="Q48" s="2"/>
      <c r="R48" s="2"/>
      <c r="S48" s="1"/>
      <c r="T48" s="1"/>
      <c r="U48" s="1"/>
      <c r="V48" s="1"/>
      <c r="W48" s="1"/>
      <c r="X48" s="1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"/>
      <c r="AK48" s="2"/>
      <c r="AL48" s="2"/>
      <c r="AM48" s="2"/>
      <c r="AN48" s="2"/>
      <c r="AO48" s="158"/>
      <c r="AP48" s="157"/>
    </row>
    <row r="49" spans="41:42" x14ac:dyDescent="0.25">
      <c r="AO49" s="157"/>
      <c r="AP49" s="157"/>
    </row>
  </sheetData>
  <mergeCells count="18">
    <mergeCell ref="E2:AM2"/>
    <mergeCell ref="E3:AM3"/>
    <mergeCell ref="E4:AN4"/>
    <mergeCell ref="E5:I5"/>
    <mergeCell ref="J5:Q5"/>
    <mergeCell ref="Y5:AB5"/>
    <mergeCell ref="AC5:AI5"/>
    <mergeCell ref="E6:I6"/>
    <mergeCell ref="J6:Q6"/>
    <mergeCell ref="Y6:AB6"/>
    <mergeCell ref="AC6:AI6"/>
    <mergeCell ref="E7:I7"/>
    <mergeCell ref="J7:AI7"/>
    <mergeCell ref="B10:B11"/>
    <mergeCell ref="C10:C11"/>
    <mergeCell ref="D10:D11"/>
    <mergeCell ref="AJ10:AN10"/>
    <mergeCell ref="AO10:AO11"/>
  </mergeCells>
  <conditionalFormatting sqref="D17:D18">
    <cfRule type="duplicateValues" dxfId="20" priority="2"/>
  </conditionalFormatting>
  <conditionalFormatting sqref="D16">
    <cfRule type="duplicateValues" dxfId="19" priority="1"/>
  </conditionalFormatting>
  <pageMargins left="0.23622047244094491" right="0.23622047244094491" top="0.74803149606299213" bottom="0.74803149606299213" header="0.31496062992125984" footer="0.31496062992125984"/>
  <pageSetup paperSize="5"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1"/>
  <sheetViews>
    <sheetView tabSelected="1" view="pageBreakPreview" zoomScale="64" zoomScaleNormal="89" zoomScaleSheetLayoutView="64" workbookViewId="0">
      <selection activeCell="E15" sqref="E15"/>
    </sheetView>
  </sheetViews>
  <sheetFormatPr baseColWidth="10" defaultRowHeight="15" x14ac:dyDescent="0.25"/>
  <cols>
    <col min="1" max="1" width="6.85546875" customWidth="1"/>
    <col min="2" max="2" width="10.5703125" customWidth="1"/>
    <col min="3" max="3" width="57.7109375" customWidth="1"/>
    <col min="4" max="4" width="9.28515625" customWidth="1"/>
    <col min="5" max="5" width="8.5703125" customWidth="1"/>
    <col min="6" max="6" width="7.85546875" customWidth="1"/>
    <col min="7" max="7" width="7.7109375" customWidth="1"/>
    <col min="8" max="9" width="7.5703125" customWidth="1"/>
    <col min="10" max="10" width="6.7109375" customWidth="1"/>
    <col min="11" max="12" width="7.42578125" customWidth="1"/>
    <col min="13" max="14" width="7.85546875" customWidth="1"/>
    <col min="15" max="15" width="6.85546875" customWidth="1"/>
    <col min="16" max="16" width="7.42578125" customWidth="1"/>
    <col min="17" max="17" width="7.85546875" customWidth="1"/>
    <col min="18" max="18" width="7.140625" customWidth="1"/>
    <col min="19" max="19" width="6.85546875" customWidth="1"/>
    <col min="20" max="20" width="7.42578125" customWidth="1"/>
    <col min="21" max="21" width="7.140625" customWidth="1"/>
    <col min="22" max="22" width="6.85546875" customWidth="1"/>
    <col min="23" max="23" width="7" customWidth="1"/>
    <col min="24" max="24" width="6.28515625" customWidth="1"/>
    <col min="25" max="25" width="6.5703125" customWidth="1"/>
    <col min="26" max="26" width="7.7109375" customWidth="1"/>
    <col min="27" max="27" width="6.7109375" customWidth="1"/>
    <col min="28" max="28" width="6.85546875" customWidth="1"/>
    <col min="29" max="29" width="7" customWidth="1"/>
    <col min="30" max="31" width="6.7109375" customWidth="1"/>
    <col min="32" max="33" width="7" customWidth="1"/>
    <col min="34" max="34" width="7.140625" customWidth="1"/>
    <col min="35" max="35" width="6.42578125" style="308" customWidth="1"/>
    <col min="36" max="36" width="5.85546875" customWidth="1"/>
    <col min="37" max="37" width="5.42578125" customWidth="1"/>
    <col min="38" max="38" width="6.28515625" customWidth="1"/>
    <col min="39" max="39" width="23.42578125" customWidth="1"/>
    <col min="40" max="40" width="64" customWidth="1"/>
    <col min="41" max="41" width="16" customWidth="1"/>
  </cols>
  <sheetData>
    <row r="1" spans="1:40" ht="23.25" x14ac:dyDescent="0.35">
      <c r="B1" s="160"/>
      <c r="C1" s="161"/>
      <c r="D1" s="664" t="s">
        <v>67</v>
      </c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4"/>
      <c r="Z1" s="664"/>
      <c r="AA1" s="664"/>
      <c r="AB1" s="664"/>
      <c r="AC1" s="664"/>
      <c r="AD1" s="664"/>
      <c r="AE1" s="664"/>
      <c r="AF1" s="664"/>
      <c r="AG1" s="664"/>
      <c r="AH1" s="664"/>
      <c r="AI1" s="664"/>
      <c r="AJ1" s="664"/>
      <c r="AK1" s="664"/>
      <c r="AL1" s="664"/>
      <c r="AM1" s="664"/>
      <c r="AN1" s="161"/>
    </row>
    <row r="2" spans="1:40" ht="23.25" x14ac:dyDescent="0.35">
      <c r="B2" s="160"/>
      <c r="C2" s="161"/>
      <c r="D2" s="664" t="s">
        <v>1</v>
      </c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  <c r="AA2" s="664"/>
      <c r="AB2" s="664"/>
      <c r="AC2" s="664"/>
      <c r="AD2" s="664"/>
      <c r="AE2" s="664"/>
      <c r="AF2" s="664"/>
      <c r="AG2" s="664"/>
      <c r="AH2" s="664"/>
      <c r="AI2" s="664"/>
      <c r="AJ2" s="664"/>
      <c r="AK2" s="664"/>
      <c r="AL2" s="664"/>
      <c r="AM2" s="664"/>
      <c r="AN2" s="161"/>
    </row>
    <row r="3" spans="1:40" s="162" customFormat="1" ht="18" x14ac:dyDescent="0.25">
      <c r="B3" s="163"/>
      <c r="C3" s="164"/>
      <c r="D3" s="660" t="s">
        <v>2</v>
      </c>
      <c r="E3" s="660"/>
      <c r="F3" s="660"/>
      <c r="G3" s="660"/>
      <c r="H3" s="660"/>
      <c r="I3" s="661" t="s">
        <v>68</v>
      </c>
      <c r="J3" s="661"/>
      <c r="K3" s="661"/>
      <c r="L3" s="661"/>
      <c r="M3" s="661"/>
      <c r="N3" s="661"/>
      <c r="O3" s="661"/>
      <c r="P3" s="661"/>
      <c r="Q3" s="165"/>
      <c r="R3" s="142"/>
      <c r="S3" s="165"/>
      <c r="T3" s="165"/>
      <c r="U3" s="142"/>
      <c r="V3" s="142"/>
      <c r="W3" s="165"/>
      <c r="X3" s="660" t="s">
        <v>69</v>
      </c>
      <c r="Y3" s="660"/>
      <c r="Z3" s="660"/>
      <c r="AA3" s="660"/>
      <c r="AB3" s="665" t="s">
        <v>105</v>
      </c>
      <c r="AC3" s="665"/>
      <c r="AD3" s="665"/>
      <c r="AE3" s="665"/>
      <c r="AF3" s="665"/>
      <c r="AG3" s="665"/>
      <c r="AH3" s="665"/>
      <c r="AI3" s="166"/>
      <c r="AJ3" s="148"/>
      <c r="AK3" s="148"/>
      <c r="AL3" s="148"/>
      <c r="AM3" s="148"/>
      <c r="AN3" s="164"/>
    </row>
    <row r="4" spans="1:40" s="162" customFormat="1" ht="18" x14ac:dyDescent="0.25">
      <c r="B4" s="163"/>
      <c r="C4" s="164"/>
      <c r="D4" s="660" t="s">
        <v>5</v>
      </c>
      <c r="E4" s="660"/>
      <c r="F4" s="660"/>
      <c r="G4" s="660"/>
      <c r="H4" s="660"/>
      <c r="I4" s="661" t="s">
        <v>6</v>
      </c>
      <c r="J4" s="661"/>
      <c r="K4" s="661"/>
      <c r="L4" s="661"/>
      <c r="M4" s="661"/>
      <c r="N4" s="661"/>
      <c r="O4" s="661"/>
      <c r="P4" s="661"/>
      <c r="Q4" s="165"/>
      <c r="R4" s="142"/>
      <c r="S4" s="165"/>
      <c r="T4" s="165"/>
      <c r="U4" s="142"/>
      <c r="V4" s="142"/>
      <c r="W4" s="165"/>
      <c r="X4" s="660" t="s">
        <v>7</v>
      </c>
      <c r="Y4" s="660"/>
      <c r="Z4" s="660"/>
      <c r="AA4" s="660"/>
      <c r="AB4" s="662">
        <v>2026</v>
      </c>
      <c r="AC4" s="662"/>
      <c r="AD4" s="662"/>
      <c r="AE4" s="662"/>
      <c r="AF4" s="662"/>
      <c r="AG4" s="662"/>
      <c r="AH4" s="662"/>
      <c r="AI4" s="166"/>
      <c r="AJ4" s="148"/>
      <c r="AK4" s="148"/>
      <c r="AL4" s="148"/>
      <c r="AM4" s="148"/>
      <c r="AN4" s="164"/>
    </row>
    <row r="5" spans="1:40" s="162" customFormat="1" ht="20.25" x14ac:dyDescent="0.3">
      <c r="B5" s="163"/>
      <c r="C5" s="167"/>
      <c r="D5" s="660" t="s">
        <v>8</v>
      </c>
      <c r="E5" s="660"/>
      <c r="F5" s="660"/>
      <c r="G5" s="660"/>
      <c r="H5" s="660"/>
      <c r="I5" s="663" t="s">
        <v>70</v>
      </c>
      <c r="J5" s="663"/>
      <c r="K5" s="663"/>
      <c r="L5" s="663"/>
      <c r="M5" s="663"/>
      <c r="N5" s="663"/>
      <c r="O5" s="663"/>
      <c r="P5" s="663"/>
      <c r="Q5" s="663"/>
      <c r="R5" s="663"/>
      <c r="S5" s="663"/>
      <c r="T5" s="663"/>
      <c r="U5" s="663"/>
      <c r="V5" s="663"/>
      <c r="W5" s="663"/>
      <c r="X5" s="663"/>
      <c r="Y5" s="663"/>
      <c r="Z5" s="663"/>
      <c r="AA5" s="663"/>
      <c r="AB5" s="663"/>
      <c r="AC5" s="663"/>
      <c r="AD5" s="663"/>
      <c r="AE5" s="663"/>
      <c r="AF5" s="663"/>
      <c r="AG5" s="663"/>
      <c r="AH5" s="663"/>
      <c r="AI5" s="166"/>
      <c r="AJ5" s="148"/>
      <c r="AK5" s="148"/>
      <c r="AL5" s="148"/>
      <c r="AM5" s="148"/>
      <c r="AN5" s="164"/>
    </row>
    <row r="6" spans="1:40" s="162" customFormat="1" ht="15.75" thickBot="1" x14ac:dyDescent="0.3">
      <c r="B6" s="163"/>
      <c r="C6" s="167"/>
      <c r="D6" s="165"/>
      <c r="E6" s="165"/>
      <c r="F6" s="165"/>
      <c r="G6" s="165"/>
      <c r="H6" s="165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323"/>
      <c r="AI6" s="166"/>
      <c r="AJ6" s="148"/>
      <c r="AK6" s="148"/>
      <c r="AL6" s="148"/>
      <c r="AM6" s="148"/>
      <c r="AN6" s="164"/>
    </row>
    <row r="7" spans="1:40" s="173" customFormat="1" ht="35.1" customHeight="1" x14ac:dyDescent="0.25">
      <c r="A7" s="169"/>
      <c r="B7" s="642" t="s">
        <v>71</v>
      </c>
      <c r="C7" s="644" t="s">
        <v>12</v>
      </c>
      <c r="D7" s="170" t="s">
        <v>13</v>
      </c>
      <c r="E7" s="171" t="s">
        <v>17</v>
      </c>
      <c r="F7" s="171" t="s">
        <v>18</v>
      </c>
      <c r="G7" s="171" t="s">
        <v>18</v>
      </c>
      <c r="H7" s="171" t="s">
        <v>19</v>
      </c>
      <c r="I7" s="171" t="s">
        <v>14</v>
      </c>
      <c r="J7" s="172" t="s">
        <v>15</v>
      </c>
      <c r="K7" s="172" t="s">
        <v>16</v>
      </c>
      <c r="L7" s="171" t="s">
        <v>17</v>
      </c>
      <c r="M7" s="171" t="s">
        <v>18</v>
      </c>
      <c r="N7" s="171" t="s">
        <v>18</v>
      </c>
      <c r="O7" s="171" t="s">
        <v>19</v>
      </c>
      <c r="P7" s="171" t="s">
        <v>14</v>
      </c>
      <c r="Q7" s="172" t="s">
        <v>15</v>
      </c>
      <c r="R7" s="172" t="s">
        <v>16</v>
      </c>
      <c r="S7" s="171" t="s">
        <v>17</v>
      </c>
      <c r="T7" s="171" t="s">
        <v>18</v>
      </c>
      <c r="U7" s="171" t="s">
        <v>18</v>
      </c>
      <c r="V7" s="171" t="s">
        <v>19</v>
      </c>
      <c r="W7" s="171" t="s">
        <v>14</v>
      </c>
      <c r="X7" s="172" t="s">
        <v>15</v>
      </c>
      <c r="Y7" s="172" t="s">
        <v>16</v>
      </c>
      <c r="Z7" s="171" t="s">
        <v>17</v>
      </c>
      <c r="AA7" s="171" t="s">
        <v>18</v>
      </c>
      <c r="AB7" s="171" t="s">
        <v>18</v>
      </c>
      <c r="AC7" s="171" t="s">
        <v>19</v>
      </c>
      <c r="AD7" s="171" t="s">
        <v>14</v>
      </c>
      <c r="AE7" s="172" t="s">
        <v>15</v>
      </c>
      <c r="AF7" s="172" t="s">
        <v>16</v>
      </c>
      <c r="AG7" s="171" t="s">
        <v>17</v>
      </c>
      <c r="AH7" s="324" t="s">
        <v>18</v>
      </c>
      <c r="AI7" s="646" t="s">
        <v>20</v>
      </c>
      <c r="AJ7" s="647"/>
      <c r="AK7" s="647"/>
      <c r="AL7" s="647"/>
      <c r="AM7" s="644"/>
      <c r="AN7" s="648" t="s">
        <v>72</v>
      </c>
    </row>
    <row r="8" spans="1:40" s="173" customFormat="1" ht="35.1" customHeight="1" thickBot="1" x14ac:dyDescent="0.3">
      <c r="A8" s="174"/>
      <c r="B8" s="643"/>
      <c r="C8" s="645"/>
      <c r="D8" s="175" t="s">
        <v>22</v>
      </c>
      <c r="E8" s="176">
        <v>1</v>
      </c>
      <c r="F8" s="176">
        <v>2</v>
      </c>
      <c r="G8" s="176">
        <v>3</v>
      </c>
      <c r="H8" s="176">
        <v>4</v>
      </c>
      <c r="I8" s="176">
        <v>5</v>
      </c>
      <c r="J8" s="176">
        <v>6</v>
      </c>
      <c r="K8" s="176">
        <v>7</v>
      </c>
      <c r="L8" s="176">
        <v>8</v>
      </c>
      <c r="M8" s="176">
        <v>9</v>
      </c>
      <c r="N8" s="176">
        <v>10</v>
      </c>
      <c r="O8" s="176">
        <v>11</v>
      </c>
      <c r="P8" s="176">
        <v>12</v>
      </c>
      <c r="Q8" s="176">
        <v>13</v>
      </c>
      <c r="R8" s="176">
        <v>14</v>
      </c>
      <c r="S8" s="176">
        <v>15</v>
      </c>
      <c r="T8" s="176">
        <v>16</v>
      </c>
      <c r="U8" s="176">
        <v>17</v>
      </c>
      <c r="V8" s="176">
        <v>18</v>
      </c>
      <c r="W8" s="176">
        <v>19</v>
      </c>
      <c r="X8" s="176">
        <v>20</v>
      </c>
      <c r="Y8" s="176">
        <v>21</v>
      </c>
      <c r="Z8" s="176">
        <v>22</v>
      </c>
      <c r="AA8" s="176">
        <v>23</v>
      </c>
      <c r="AB8" s="176">
        <v>24</v>
      </c>
      <c r="AC8" s="176">
        <v>25</v>
      </c>
      <c r="AD8" s="176">
        <v>26</v>
      </c>
      <c r="AE8" s="176">
        <v>27</v>
      </c>
      <c r="AF8" s="176">
        <v>28</v>
      </c>
      <c r="AG8" s="176">
        <v>29</v>
      </c>
      <c r="AH8" s="325">
        <v>30</v>
      </c>
      <c r="AI8" s="322" t="s">
        <v>23</v>
      </c>
      <c r="AJ8" s="177" t="s">
        <v>24</v>
      </c>
      <c r="AK8" s="178" t="s">
        <v>25</v>
      </c>
      <c r="AL8" s="178" t="s">
        <v>17</v>
      </c>
      <c r="AM8" s="179" t="s">
        <v>73</v>
      </c>
      <c r="AN8" s="649"/>
    </row>
    <row r="9" spans="1:40" s="173" customFormat="1" ht="35.1" customHeight="1" x14ac:dyDescent="0.4">
      <c r="A9" s="180">
        <v>1</v>
      </c>
      <c r="B9" s="597" t="s">
        <v>74</v>
      </c>
      <c r="C9" s="602" t="s">
        <v>75</v>
      </c>
      <c r="D9" s="181"/>
      <c r="E9" s="373" t="s">
        <v>126</v>
      </c>
      <c r="F9" s="411" t="s">
        <v>25</v>
      </c>
      <c r="G9" s="411" t="s">
        <v>17</v>
      </c>
      <c r="H9" s="412" t="s">
        <v>23</v>
      </c>
      <c r="I9" s="413" t="s">
        <v>23</v>
      </c>
      <c r="J9" s="420" t="s">
        <v>17</v>
      </c>
      <c r="K9" s="616" t="s">
        <v>17</v>
      </c>
      <c r="L9" s="413" t="s">
        <v>23</v>
      </c>
      <c r="M9" s="411" t="s">
        <v>25</v>
      </c>
      <c r="N9" s="411" t="s">
        <v>25</v>
      </c>
      <c r="O9" s="411" t="s">
        <v>17</v>
      </c>
      <c r="P9" s="414" t="s">
        <v>17</v>
      </c>
      <c r="Q9" s="415" t="s">
        <v>24</v>
      </c>
      <c r="R9" s="416" t="s">
        <v>24</v>
      </c>
      <c r="S9" s="411" t="s">
        <v>25</v>
      </c>
      <c r="T9" s="411" t="s">
        <v>17</v>
      </c>
      <c r="U9" s="417" t="s">
        <v>24</v>
      </c>
      <c r="V9" s="418" t="s">
        <v>24</v>
      </c>
      <c r="W9" s="414" t="s">
        <v>17</v>
      </c>
      <c r="X9" s="461" t="s">
        <v>23</v>
      </c>
      <c r="Y9" s="419" t="s">
        <v>23</v>
      </c>
      <c r="Z9" s="417" t="s">
        <v>24</v>
      </c>
      <c r="AA9" s="417" t="s">
        <v>24</v>
      </c>
      <c r="AB9" s="411" t="s">
        <v>17</v>
      </c>
      <c r="AC9" s="411" t="s">
        <v>17</v>
      </c>
      <c r="AD9" s="414" t="s">
        <v>25</v>
      </c>
      <c r="AE9" s="420" t="s">
        <v>17</v>
      </c>
      <c r="AF9" s="421" t="s">
        <v>23</v>
      </c>
      <c r="AG9" s="417" t="s">
        <v>24</v>
      </c>
      <c r="AH9" s="422" t="s">
        <v>24</v>
      </c>
      <c r="AI9" s="365">
        <v>6</v>
      </c>
      <c r="AJ9" s="366">
        <v>8</v>
      </c>
      <c r="AK9" s="360">
        <v>5</v>
      </c>
      <c r="AL9" s="360">
        <v>10</v>
      </c>
      <c r="AM9" s="186" t="s">
        <v>168</v>
      </c>
      <c r="AN9" s="183" t="s">
        <v>169</v>
      </c>
    </row>
    <row r="10" spans="1:40" s="173" customFormat="1" ht="35.1" customHeight="1" x14ac:dyDescent="0.4">
      <c r="A10" s="184">
        <v>2</v>
      </c>
      <c r="B10" s="598">
        <v>100126</v>
      </c>
      <c r="C10" s="603" t="s">
        <v>103</v>
      </c>
      <c r="D10" s="185"/>
      <c r="E10" s="423" t="s">
        <v>23</v>
      </c>
      <c r="F10" s="424" t="s">
        <v>23</v>
      </c>
      <c r="G10" s="425" t="s">
        <v>25</v>
      </c>
      <c r="H10" s="425" t="s">
        <v>17</v>
      </c>
      <c r="I10" s="426" t="s">
        <v>24</v>
      </c>
      <c r="J10" s="427" t="s">
        <v>24</v>
      </c>
      <c r="K10" s="428" t="s">
        <v>17</v>
      </c>
      <c r="L10" s="423" t="s">
        <v>23</v>
      </c>
      <c r="M10" s="423" t="s">
        <v>23</v>
      </c>
      <c r="N10" s="422" t="s">
        <v>24</v>
      </c>
      <c r="O10" s="425" t="s">
        <v>17</v>
      </c>
      <c r="P10" s="429" t="s">
        <v>23</v>
      </c>
      <c r="Q10" s="460" t="s">
        <v>23</v>
      </c>
      <c r="R10" s="430" t="s">
        <v>23</v>
      </c>
      <c r="S10" s="425" t="s">
        <v>17</v>
      </c>
      <c r="T10" s="425" t="s">
        <v>25</v>
      </c>
      <c r="U10" s="425" t="s">
        <v>17</v>
      </c>
      <c r="V10" s="424" t="s">
        <v>23</v>
      </c>
      <c r="W10" s="431" t="s">
        <v>17</v>
      </c>
      <c r="X10" s="415" t="s">
        <v>24</v>
      </c>
      <c r="Y10" s="432" t="s">
        <v>17</v>
      </c>
      <c r="Z10" s="425" t="s">
        <v>25</v>
      </c>
      <c r="AA10" s="425" t="s">
        <v>17</v>
      </c>
      <c r="AB10" s="425" t="s">
        <v>126</v>
      </c>
      <c r="AC10" s="422" t="s">
        <v>24</v>
      </c>
      <c r="AD10" s="426" t="s">
        <v>24</v>
      </c>
      <c r="AE10" s="432" t="s">
        <v>17</v>
      </c>
      <c r="AF10" s="428" t="s">
        <v>17</v>
      </c>
      <c r="AG10" s="425" t="s">
        <v>25</v>
      </c>
      <c r="AH10" s="425" t="s">
        <v>25</v>
      </c>
      <c r="AI10" s="362">
        <v>8</v>
      </c>
      <c r="AJ10" s="367">
        <v>6</v>
      </c>
      <c r="AK10" s="361">
        <v>5</v>
      </c>
      <c r="AL10" s="361">
        <v>10</v>
      </c>
      <c r="AM10" s="186" t="s">
        <v>168</v>
      </c>
      <c r="AN10" s="183" t="s">
        <v>170</v>
      </c>
    </row>
    <row r="11" spans="1:40" s="173" customFormat="1" ht="35.1" customHeight="1" x14ac:dyDescent="0.4">
      <c r="A11" s="184">
        <v>3</v>
      </c>
      <c r="B11" s="598">
        <v>100121</v>
      </c>
      <c r="C11" s="603" t="s">
        <v>76</v>
      </c>
      <c r="D11" s="185"/>
      <c r="E11" s="458" t="s">
        <v>23</v>
      </c>
      <c r="F11" s="422" t="s">
        <v>24</v>
      </c>
      <c r="G11" s="425" t="s">
        <v>17</v>
      </c>
      <c r="H11" s="425" t="s">
        <v>25</v>
      </c>
      <c r="I11" s="431" t="s">
        <v>17</v>
      </c>
      <c r="J11" s="433" t="s">
        <v>23</v>
      </c>
      <c r="K11" s="428" t="s">
        <v>25</v>
      </c>
      <c r="L11" s="425" t="s">
        <v>17</v>
      </c>
      <c r="M11" s="422" t="s">
        <v>24</v>
      </c>
      <c r="N11" s="422" t="s">
        <v>24</v>
      </c>
      <c r="O11" s="425" t="s">
        <v>25</v>
      </c>
      <c r="P11" s="431" t="s">
        <v>17</v>
      </c>
      <c r="Q11" s="432" t="s">
        <v>17</v>
      </c>
      <c r="R11" s="428" t="s">
        <v>17</v>
      </c>
      <c r="S11" s="424" t="s">
        <v>23</v>
      </c>
      <c r="T11" s="424" t="s">
        <v>23</v>
      </c>
      <c r="U11" s="425" t="s">
        <v>25</v>
      </c>
      <c r="V11" s="425" t="s">
        <v>17</v>
      </c>
      <c r="W11" s="434" t="s">
        <v>23</v>
      </c>
      <c r="X11" s="433" t="s">
        <v>23</v>
      </c>
      <c r="Y11" s="428" t="s">
        <v>17</v>
      </c>
      <c r="Z11" s="422" t="s">
        <v>24</v>
      </c>
      <c r="AA11" s="425" t="s">
        <v>25</v>
      </c>
      <c r="AB11" s="425" t="s">
        <v>17</v>
      </c>
      <c r="AC11" s="423" t="s">
        <v>23</v>
      </c>
      <c r="AD11" s="434" t="s">
        <v>23</v>
      </c>
      <c r="AE11" s="427" t="s">
        <v>24</v>
      </c>
      <c r="AF11" s="415" t="s">
        <v>24</v>
      </c>
      <c r="AG11" s="425" t="s">
        <v>17</v>
      </c>
      <c r="AH11" s="423" t="s">
        <v>23</v>
      </c>
      <c r="AI11" s="362">
        <v>9</v>
      </c>
      <c r="AJ11" s="367">
        <v>6</v>
      </c>
      <c r="AK11" s="363">
        <v>5</v>
      </c>
      <c r="AL11" s="363">
        <v>10</v>
      </c>
      <c r="AM11" s="188"/>
      <c r="AN11" s="191"/>
    </row>
    <row r="12" spans="1:40" s="173" customFormat="1" ht="35.1" customHeight="1" x14ac:dyDescent="0.4">
      <c r="A12" s="184">
        <v>4</v>
      </c>
      <c r="B12" s="598">
        <v>100459</v>
      </c>
      <c r="C12" s="603" t="s">
        <v>77</v>
      </c>
      <c r="D12" s="187"/>
      <c r="E12" s="435">
        <v>6</v>
      </c>
      <c r="F12" s="428">
        <v>7</v>
      </c>
      <c r="G12" s="428">
        <v>8</v>
      </c>
      <c r="H12" s="428">
        <v>9</v>
      </c>
      <c r="I12" s="432">
        <v>10</v>
      </c>
      <c r="J12" s="436" t="s">
        <v>17</v>
      </c>
      <c r="K12" s="432" t="s">
        <v>17</v>
      </c>
      <c r="L12" s="428">
        <v>11</v>
      </c>
      <c r="M12" s="428">
        <v>12</v>
      </c>
      <c r="N12" s="428">
        <v>13</v>
      </c>
      <c r="O12" s="428">
        <v>14</v>
      </c>
      <c r="P12" s="428">
        <v>15</v>
      </c>
      <c r="Q12" s="432" t="s">
        <v>17</v>
      </c>
      <c r="R12" s="432" t="s">
        <v>17</v>
      </c>
      <c r="S12" s="428">
        <v>16</v>
      </c>
      <c r="T12" s="428">
        <v>17</v>
      </c>
      <c r="U12" s="428">
        <v>18</v>
      </c>
      <c r="V12" s="428">
        <v>19</v>
      </c>
      <c r="W12" s="428">
        <v>20</v>
      </c>
      <c r="X12" s="432" t="s">
        <v>17</v>
      </c>
      <c r="Y12" s="432" t="s">
        <v>17</v>
      </c>
      <c r="Z12" s="428">
        <v>21</v>
      </c>
      <c r="AA12" s="428">
        <v>22</v>
      </c>
      <c r="AB12" s="423" t="s">
        <v>23</v>
      </c>
      <c r="AC12" s="423" t="s">
        <v>23</v>
      </c>
      <c r="AD12" s="422" t="s">
        <v>24</v>
      </c>
      <c r="AE12" s="432" t="s">
        <v>25</v>
      </c>
      <c r="AF12" s="428" t="s">
        <v>25</v>
      </c>
      <c r="AG12" s="425" t="s">
        <v>17</v>
      </c>
      <c r="AH12" s="425" t="s">
        <v>17</v>
      </c>
      <c r="AI12" s="362">
        <v>2</v>
      </c>
      <c r="AJ12" s="367">
        <v>1</v>
      </c>
      <c r="AK12" s="361">
        <v>2</v>
      </c>
      <c r="AL12" s="361">
        <v>8</v>
      </c>
      <c r="AM12" s="331"/>
      <c r="AN12" s="183" t="s">
        <v>130</v>
      </c>
    </row>
    <row r="13" spans="1:40" s="173" customFormat="1" ht="35.1" customHeight="1" thickBot="1" x14ac:dyDescent="0.45">
      <c r="A13" s="184">
        <v>5</v>
      </c>
      <c r="B13" s="598">
        <v>100247</v>
      </c>
      <c r="C13" s="603" t="s">
        <v>78</v>
      </c>
      <c r="E13" s="437">
        <v>11</v>
      </c>
      <c r="F13" s="428">
        <v>12</v>
      </c>
      <c r="G13" s="428">
        <v>13</v>
      </c>
      <c r="H13" s="428">
        <v>14</v>
      </c>
      <c r="I13" s="428">
        <v>15</v>
      </c>
      <c r="J13" s="432" t="s">
        <v>17</v>
      </c>
      <c r="K13" s="432" t="s">
        <v>17</v>
      </c>
      <c r="L13" s="428">
        <v>16</v>
      </c>
      <c r="M13" s="428">
        <v>17</v>
      </c>
      <c r="N13" s="428">
        <v>18</v>
      </c>
      <c r="O13" s="428">
        <v>19</v>
      </c>
      <c r="P13" s="428">
        <v>20</v>
      </c>
      <c r="Q13" s="432" t="s">
        <v>17</v>
      </c>
      <c r="R13" s="432" t="s">
        <v>17</v>
      </c>
      <c r="S13" s="428">
        <v>21</v>
      </c>
      <c r="T13" s="428">
        <v>22</v>
      </c>
      <c r="U13" s="425" t="s">
        <v>25</v>
      </c>
      <c r="V13" s="425" t="s">
        <v>17</v>
      </c>
      <c r="W13" s="431" t="s">
        <v>127</v>
      </c>
      <c r="X13" s="433" t="s">
        <v>23</v>
      </c>
      <c r="Y13" s="428" t="s">
        <v>25</v>
      </c>
      <c r="Z13" s="438" t="s">
        <v>17</v>
      </c>
      <c r="AA13" s="425" t="s">
        <v>126</v>
      </c>
      <c r="AB13" s="425" t="s">
        <v>17</v>
      </c>
      <c r="AC13" s="462" t="s">
        <v>23</v>
      </c>
      <c r="AD13" s="431" t="s">
        <v>17</v>
      </c>
      <c r="AE13" s="439" t="s">
        <v>23</v>
      </c>
      <c r="AF13" s="430" t="s">
        <v>23</v>
      </c>
      <c r="AG13" s="425" t="s">
        <v>17</v>
      </c>
      <c r="AH13" s="425" t="s">
        <v>25</v>
      </c>
      <c r="AI13" s="362">
        <v>4</v>
      </c>
      <c r="AJ13" s="367">
        <v>0</v>
      </c>
      <c r="AK13" s="361">
        <v>3</v>
      </c>
      <c r="AL13" s="361">
        <v>9</v>
      </c>
      <c r="AM13" s="330" t="s">
        <v>132</v>
      </c>
      <c r="AN13" s="183" t="s">
        <v>125</v>
      </c>
    </row>
    <row r="14" spans="1:40" s="173" customFormat="1" ht="35.1" customHeight="1" x14ac:dyDescent="0.4">
      <c r="A14" s="184">
        <v>6</v>
      </c>
      <c r="B14" s="598">
        <v>100247</v>
      </c>
      <c r="C14" s="603" t="s">
        <v>79</v>
      </c>
      <c r="D14" s="185"/>
      <c r="E14" s="425" t="s">
        <v>17</v>
      </c>
      <c r="F14" s="425" t="s">
        <v>17</v>
      </c>
      <c r="G14" s="423" t="s">
        <v>23</v>
      </c>
      <c r="H14" s="422" t="s">
        <v>24</v>
      </c>
      <c r="I14" s="431" t="s">
        <v>25</v>
      </c>
      <c r="J14" s="432" t="s">
        <v>17</v>
      </c>
      <c r="K14" s="440" t="s">
        <v>23</v>
      </c>
      <c r="L14" s="425" t="s">
        <v>25</v>
      </c>
      <c r="M14" s="425" t="s">
        <v>17</v>
      </c>
      <c r="N14" s="425" t="s">
        <v>35</v>
      </c>
      <c r="O14" s="422" t="s">
        <v>24</v>
      </c>
      <c r="P14" s="426" t="s">
        <v>24</v>
      </c>
      <c r="Q14" s="427" t="s">
        <v>24</v>
      </c>
      <c r="R14" s="232" t="s">
        <v>133</v>
      </c>
      <c r="S14" s="422" t="s">
        <v>24</v>
      </c>
      <c r="T14" s="425" t="s">
        <v>25</v>
      </c>
      <c r="U14" s="425" t="s">
        <v>17</v>
      </c>
      <c r="V14" s="425" t="s">
        <v>25</v>
      </c>
      <c r="W14" s="431" t="s">
        <v>17</v>
      </c>
      <c r="X14" s="428" t="s">
        <v>17</v>
      </c>
      <c r="Y14" s="428" t="s">
        <v>17</v>
      </c>
      <c r="Z14" s="441" t="s">
        <v>23</v>
      </c>
      <c r="AA14" s="423" t="s">
        <v>23</v>
      </c>
      <c r="AB14" s="425" t="s">
        <v>106</v>
      </c>
      <c r="AC14" s="425" t="s">
        <v>17</v>
      </c>
      <c r="AD14" s="434" t="s">
        <v>23</v>
      </c>
      <c r="AE14" s="427" t="s">
        <v>24</v>
      </c>
      <c r="AF14" s="415" t="s">
        <v>24</v>
      </c>
      <c r="AG14" s="425" t="s">
        <v>17</v>
      </c>
      <c r="AH14" s="423" t="s">
        <v>23</v>
      </c>
      <c r="AI14" s="362">
        <v>6</v>
      </c>
      <c r="AJ14" s="367">
        <v>7</v>
      </c>
      <c r="AK14" s="361">
        <v>5</v>
      </c>
      <c r="AL14" s="361">
        <v>10</v>
      </c>
      <c r="AM14" s="622" t="s">
        <v>171</v>
      </c>
      <c r="AN14" s="189" t="s">
        <v>172</v>
      </c>
    </row>
    <row r="15" spans="1:40" s="173" customFormat="1" ht="35.1" customHeight="1" x14ac:dyDescent="0.4">
      <c r="A15" s="184">
        <v>7</v>
      </c>
      <c r="B15" s="598">
        <v>100502</v>
      </c>
      <c r="C15" s="603" t="s">
        <v>80</v>
      </c>
      <c r="D15" s="185"/>
      <c r="E15" s="422" t="s">
        <v>24</v>
      </c>
      <c r="F15" s="425" t="s">
        <v>25</v>
      </c>
      <c r="G15" s="425" t="s">
        <v>17</v>
      </c>
      <c r="H15" s="423" t="s">
        <v>23</v>
      </c>
      <c r="I15" s="431" t="s">
        <v>129</v>
      </c>
      <c r="J15" s="432" t="s">
        <v>25</v>
      </c>
      <c r="K15" s="432" t="s">
        <v>25</v>
      </c>
      <c r="L15" s="425" t="s">
        <v>17</v>
      </c>
      <c r="M15" s="425" t="s">
        <v>17</v>
      </c>
      <c r="N15" s="423" t="s">
        <v>23</v>
      </c>
      <c r="O15" s="423" t="s">
        <v>23</v>
      </c>
      <c r="P15" s="431" t="s">
        <v>128</v>
      </c>
      <c r="Q15" s="432" t="s">
        <v>17</v>
      </c>
      <c r="R15" s="428" t="s">
        <v>17</v>
      </c>
      <c r="S15" s="424" t="s">
        <v>23</v>
      </c>
      <c r="T15" s="424" t="s">
        <v>23</v>
      </c>
      <c r="U15" s="424" t="s">
        <v>23</v>
      </c>
      <c r="V15" s="425" t="s">
        <v>17</v>
      </c>
      <c r="W15" s="423" t="s">
        <v>23</v>
      </c>
      <c r="X15" s="432" t="s">
        <v>17</v>
      </c>
      <c r="Y15" s="415" t="s">
        <v>24</v>
      </c>
      <c r="Z15" s="425" t="s">
        <v>17</v>
      </c>
      <c r="AA15" s="422" t="s">
        <v>24</v>
      </c>
      <c r="AB15" s="422" t="s">
        <v>24</v>
      </c>
      <c r="AC15" s="425" t="s">
        <v>25</v>
      </c>
      <c r="AD15" s="431" t="s">
        <v>17</v>
      </c>
      <c r="AE15" s="432" t="s">
        <v>25</v>
      </c>
      <c r="AF15" s="432" t="s">
        <v>17</v>
      </c>
      <c r="AG15" s="423" t="s">
        <v>23</v>
      </c>
      <c r="AH15" s="422" t="s">
        <v>24</v>
      </c>
      <c r="AI15" s="362">
        <v>8</v>
      </c>
      <c r="AJ15" s="367">
        <v>5</v>
      </c>
      <c r="AK15" s="361">
        <v>5</v>
      </c>
      <c r="AL15" s="361">
        <v>10</v>
      </c>
      <c r="AM15" s="188" t="s">
        <v>134</v>
      </c>
      <c r="AN15" s="370" t="s">
        <v>107</v>
      </c>
    </row>
    <row r="16" spans="1:40" s="173" customFormat="1" ht="35.1" customHeight="1" x14ac:dyDescent="0.4">
      <c r="A16" s="184">
        <v>8</v>
      </c>
      <c r="B16" s="598">
        <v>100278</v>
      </c>
      <c r="C16" s="603" t="s">
        <v>81</v>
      </c>
      <c r="D16" s="185"/>
      <c r="E16" s="425" t="s">
        <v>17</v>
      </c>
      <c r="F16" s="462" t="s">
        <v>23</v>
      </c>
      <c r="G16" s="425" t="s">
        <v>25</v>
      </c>
      <c r="H16" s="425" t="s">
        <v>17</v>
      </c>
      <c r="I16" s="434" t="s">
        <v>23</v>
      </c>
      <c r="J16" s="427" t="s">
        <v>24</v>
      </c>
      <c r="K16" s="415" t="s">
        <v>24</v>
      </c>
      <c r="L16" s="425" t="s">
        <v>17</v>
      </c>
      <c r="M16" s="423" t="s">
        <v>23</v>
      </c>
      <c r="N16" s="423" t="s">
        <v>23</v>
      </c>
      <c r="O16" s="449" t="s">
        <v>131</v>
      </c>
      <c r="P16" s="431" t="s">
        <v>25</v>
      </c>
      <c r="Q16" s="432" t="s">
        <v>17</v>
      </c>
      <c r="R16" s="428" t="s">
        <v>17</v>
      </c>
      <c r="S16" s="428">
        <v>1</v>
      </c>
      <c r="T16" s="428">
        <v>2</v>
      </c>
      <c r="U16" s="436">
        <v>3</v>
      </c>
      <c r="V16" s="428">
        <v>4</v>
      </c>
      <c r="W16" s="432">
        <v>5</v>
      </c>
      <c r="X16" s="432" t="s">
        <v>17</v>
      </c>
      <c r="Y16" s="428" t="s">
        <v>17</v>
      </c>
      <c r="Z16" s="428">
        <v>6</v>
      </c>
      <c r="AA16" s="428">
        <v>7</v>
      </c>
      <c r="AB16" s="428">
        <v>8</v>
      </c>
      <c r="AC16" s="428">
        <v>9</v>
      </c>
      <c r="AD16" s="432">
        <v>10</v>
      </c>
      <c r="AE16" s="432" t="s">
        <v>17</v>
      </c>
      <c r="AF16" s="432" t="s">
        <v>17</v>
      </c>
      <c r="AG16" s="432">
        <v>11</v>
      </c>
      <c r="AH16" s="442">
        <v>12</v>
      </c>
      <c r="AI16" s="362">
        <v>4</v>
      </c>
      <c r="AJ16" s="367">
        <v>2</v>
      </c>
      <c r="AK16" s="361">
        <v>2</v>
      </c>
      <c r="AL16" s="361">
        <v>9</v>
      </c>
      <c r="AM16" s="450" t="s">
        <v>131</v>
      </c>
      <c r="AN16" s="183" t="s">
        <v>135</v>
      </c>
    </row>
    <row r="17" spans="1:40" s="173" customFormat="1" ht="35.1" customHeight="1" x14ac:dyDescent="0.4">
      <c r="A17" s="184">
        <v>9</v>
      </c>
      <c r="B17" s="598">
        <v>100228</v>
      </c>
      <c r="C17" s="603" t="s">
        <v>104</v>
      </c>
      <c r="D17" s="185"/>
      <c r="E17" s="425" t="s">
        <v>25</v>
      </c>
      <c r="F17" s="425" t="s">
        <v>17</v>
      </c>
      <c r="G17" s="422" t="s">
        <v>24</v>
      </c>
      <c r="H17" s="431" t="s">
        <v>25</v>
      </c>
      <c r="I17" s="431" t="s">
        <v>17</v>
      </c>
      <c r="J17" s="459" t="s">
        <v>23</v>
      </c>
      <c r="K17" s="440" t="s">
        <v>23</v>
      </c>
      <c r="L17" s="425" t="s">
        <v>17</v>
      </c>
      <c r="M17" s="422" t="s">
        <v>24</v>
      </c>
      <c r="N17" s="425" t="s">
        <v>25</v>
      </c>
      <c r="O17" s="425" t="s">
        <v>17</v>
      </c>
      <c r="P17" s="431" t="s">
        <v>25</v>
      </c>
      <c r="Q17" s="432" t="s">
        <v>17</v>
      </c>
      <c r="R17" s="428" t="s">
        <v>124</v>
      </c>
      <c r="S17" s="428">
        <v>1</v>
      </c>
      <c r="T17" s="428">
        <v>2</v>
      </c>
      <c r="U17" s="436">
        <v>3</v>
      </c>
      <c r="V17" s="428">
        <v>4</v>
      </c>
      <c r="W17" s="432">
        <v>5</v>
      </c>
      <c r="X17" s="432" t="s">
        <v>17</v>
      </c>
      <c r="Y17" s="428" t="s">
        <v>17</v>
      </c>
      <c r="Z17" s="428">
        <v>6</v>
      </c>
      <c r="AA17" s="428">
        <v>7</v>
      </c>
      <c r="AB17" s="428">
        <v>8</v>
      </c>
      <c r="AC17" s="428">
        <v>9</v>
      </c>
      <c r="AD17" s="432">
        <v>10</v>
      </c>
      <c r="AE17" s="432" t="s">
        <v>17</v>
      </c>
      <c r="AF17" s="432" t="s">
        <v>17</v>
      </c>
      <c r="AG17" s="432">
        <v>11</v>
      </c>
      <c r="AH17" s="428">
        <v>12</v>
      </c>
      <c r="AI17" s="362">
        <v>2</v>
      </c>
      <c r="AJ17" s="367">
        <v>2</v>
      </c>
      <c r="AK17" s="361">
        <v>4</v>
      </c>
      <c r="AL17" s="361">
        <v>9</v>
      </c>
      <c r="AM17" s="188" t="s">
        <v>175</v>
      </c>
      <c r="AN17" s="601" t="s">
        <v>174</v>
      </c>
    </row>
    <row r="18" spans="1:40" s="173" customFormat="1" ht="35.1" customHeight="1" x14ac:dyDescent="0.4">
      <c r="A18" s="184">
        <v>10</v>
      </c>
      <c r="B18" s="598">
        <v>100137</v>
      </c>
      <c r="C18" s="603" t="s">
        <v>82</v>
      </c>
      <c r="D18" s="185"/>
      <c r="E18" s="424" t="s">
        <v>23</v>
      </c>
      <c r="F18" s="424" t="s">
        <v>23</v>
      </c>
      <c r="G18" s="422" t="s">
        <v>24</v>
      </c>
      <c r="H18" s="425" t="s">
        <v>17</v>
      </c>
      <c r="I18" s="431" t="s">
        <v>25</v>
      </c>
      <c r="J18" s="432" t="s">
        <v>17</v>
      </c>
      <c r="K18" s="427" t="s">
        <v>24</v>
      </c>
      <c r="L18" s="422" t="s">
        <v>24</v>
      </c>
      <c r="M18" s="425" t="s">
        <v>25</v>
      </c>
      <c r="N18" s="425" t="s">
        <v>17</v>
      </c>
      <c r="O18" s="423" t="s">
        <v>23</v>
      </c>
      <c r="P18" s="426" t="s">
        <v>24</v>
      </c>
      <c r="Q18" s="432" t="s">
        <v>17</v>
      </c>
      <c r="R18" s="427" t="s">
        <v>24</v>
      </c>
      <c r="S18" s="425" t="s">
        <v>25</v>
      </c>
      <c r="T18" s="425" t="s">
        <v>17</v>
      </c>
      <c r="U18" s="431" t="s">
        <v>17</v>
      </c>
      <c r="V18" s="424" t="s">
        <v>23</v>
      </c>
      <c r="W18" s="426" t="s">
        <v>24</v>
      </c>
      <c r="X18" s="432" t="s">
        <v>25</v>
      </c>
      <c r="Y18" s="428" t="s">
        <v>25</v>
      </c>
      <c r="Z18" s="425" t="s">
        <v>17</v>
      </c>
      <c r="AA18" s="425" t="s">
        <v>17</v>
      </c>
      <c r="AB18" s="423" t="s">
        <v>23</v>
      </c>
      <c r="AC18" s="422" t="s">
        <v>24</v>
      </c>
      <c r="AD18" s="186" t="s">
        <v>123</v>
      </c>
      <c r="AE18" s="432" t="s">
        <v>17</v>
      </c>
      <c r="AF18" s="428" t="s">
        <v>17</v>
      </c>
      <c r="AG18" s="424" t="s">
        <v>23</v>
      </c>
      <c r="AH18" s="424" t="s">
        <v>23</v>
      </c>
      <c r="AI18" s="362">
        <v>7</v>
      </c>
      <c r="AJ18" s="367">
        <v>7</v>
      </c>
      <c r="AK18" s="361">
        <v>5</v>
      </c>
      <c r="AL18" s="361">
        <v>10</v>
      </c>
      <c r="AM18" s="330" t="s">
        <v>176</v>
      </c>
      <c r="AN18" s="191" t="s">
        <v>177</v>
      </c>
    </row>
    <row r="19" spans="1:40" s="173" customFormat="1" ht="35.1" customHeight="1" x14ac:dyDescent="0.4">
      <c r="A19" s="184">
        <v>11</v>
      </c>
      <c r="B19" s="599">
        <v>100224</v>
      </c>
      <c r="C19" s="604" t="s">
        <v>83</v>
      </c>
      <c r="E19" s="435">
        <v>16</v>
      </c>
      <c r="F19" s="428">
        <v>17</v>
      </c>
      <c r="G19" s="428">
        <v>18</v>
      </c>
      <c r="H19" s="428">
        <v>19</v>
      </c>
      <c r="I19" s="428">
        <v>20</v>
      </c>
      <c r="J19" s="432" t="s">
        <v>17</v>
      </c>
      <c r="K19" s="432" t="s">
        <v>17</v>
      </c>
      <c r="L19" s="432">
        <v>21</v>
      </c>
      <c r="M19" s="428">
        <v>22</v>
      </c>
      <c r="N19" s="431" t="s">
        <v>127</v>
      </c>
      <c r="O19" s="425" t="s">
        <v>17</v>
      </c>
      <c r="P19" s="429" t="s">
        <v>23</v>
      </c>
      <c r="Q19" s="432" t="s">
        <v>25</v>
      </c>
      <c r="R19" s="428" t="s">
        <v>25</v>
      </c>
      <c r="S19" s="425" t="s">
        <v>17</v>
      </c>
      <c r="T19" s="425" t="s">
        <v>17</v>
      </c>
      <c r="U19" s="424" t="s">
        <v>23</v>
      </c>
      <c r="V19" s="422" t="s">
        <v>24</v>
      </c>
      <c r="W19" s="426" t="s">
        <v>24</v>
      </c>
      <c r="X19" s="432" t="s">
        <v>17</v>
      </c>
      <c r="Y19" s="440" t="s">
        <v>23</v>
      </c>
      <c r="Z19" s="425" t="s">
        <v>25</v>
      </c>
      <c r="AA19" s="438" t="s">
        <v>17</v>
      </c>
      <c r="AB19" s="422" t="s">
        <v>24</v>
      </c>
      <c r="AC19" s="443" t="s">
        <v>25</v>
      </c>
      <c r="AD19" s="431" t="s">
        <v>25</v>
      </c>
      <c r="AE19" s="432" t="s">
        <v>17</v>
      </c>
      <c r="AF19" s="428" t="s">
        <v>17</v>
      </c>
      <c r="AG19" s="422" t="s">
        <v>24</v>
      </c>
      <c r="AH19" s="422" t="s">
        <v>24</v>
      </c>
      <c r="AI19" s="362">
        <v>3</v>
      </c>
      <c r="AJ19" s="367">
        <v>5</v>
      </c>
      <c r="AK19" s="361">
        <v>5</v>
      </c>
      <c r="AL19" s="361">
        <v>9</v>
      </c>
      <c r="AM19" s="188" t="s">
        <v>136</v>
      </c>
      <c r="AN19" s="183" t="s">
        <v>137</v>
      </c>
    </row>
    <row r="20" spans="1:40" s="173" customFormat="1" ht="35.1" customHeight="1" x14ac:dyDescent="0.4">
      <c r="A20" s="184">
        <v>12</v>
      </c>
      <c r="B20" s="600">
        <v>100460</v>
      </c>
      <c r="C20" s="605" t="s">
        <v>84</v>
      </c>
      <c r="D20" s="185"/>
      <c r="E20" s="425" t="s">
        <v>25</v>
      </c>
      <c r="F20" s="425" t="s">
        <v>17</v>
      </c>
      <c r="G20" s="434" t="s">
        <v>23</v>
      </c>
      <c r="H20" s="422" t="s">
        <v>24</v>
      </c>
      <c r="I20" s="426" t="s">
        <v>24</v>
      </c>
      <c r="J20" s="432" t="s">
        <v>25</v>
      </c>
      <c r="K20" s="428" t="s">
        <v>17</v>
      </c>
      <c r="L20" s="422" t="s">
        <v>24</v>
      </c>
      <c r="M20" s="425" t="s">
        <v>17</v>
      </c>
      <c r="N20" s="422" t="s">
        <v>24</v>
      </c>
      <c r="O20" s="425" t="s">
        <v>25</v>
      </c>
      <c r="P20" s="431" t="s">
        <v>17</v>
      </c>
      <c r="Q20" s="439" t="s">
        <v>23</v>
      </c>
      <c r="R20" s="430" t="s">
        <v>23</v>
      </c>
      <c r="S20" s="422" t="s">
        <v>24</v>
      </c>
      <c r="T20" s="422" t="s">
        <v>24</v>
      </c>
      <c r="U20" s="425" t="s">
        <v>17</v>
      </c>
      <c r="V20" s="425" t="s">
        <v>25</v>
      </c>
      <c r="W20" s="431" t="s">
        <v>25</v>
      </c>
      <c r="X20" s="428" t="s">
        <v>17</v>
      </c>
      <c r="Y20" s="428" t="s">
        <v>17</v>
      </c>
      <c r="Z20" s="428">
        <v>1</v>
      </c>
      <c r="AA20" s="436">
        <v>2</v>
      </c>
      <c r="AB20" s="436">
        <v>3</v>
      </c>
      <c r="AC20" s="428">
        <v>4</v>
      </c>
      <c r="AD20" s="432">
        <v>5</v>
      </c>
      <c r="AE20" s="432" t="s">
        <v>17</v>
      </c>
      <c r="AF20" s="428" t="s">
        <v>17</v>
      </c>
      <c r="AG20" s="436">
        <v>6</v>
      </c>
      <c r="AH20" s="428">
        <v>7</v>
      </c>
      <c r="AI20" s="362">
        <v>3</v>
      </c>
      <c r="AJ20" s="367">
        <v>6</v>
      </c>
      <c r="AK20" s="361">
        <v>5</v>
      </c>
      <c r="AL20" s="361">
        <v>9</v>
      </c>
      <c r="AM20" s="332"/>
      <c r="AN20" s="190" t="s">
        <v>178</v>
      </c>
    </row>
    <row r="21" spans="1:40" s="173" customFormat="1" ht="35.1" customHeight="1" x14ac:dyDescent="0.4">
      <c r="A21" s="580">
        <v>13</v>
      </c>
      <c r="B21" s="618">
        <v>100154</v>
      </c>
      <c r="C21" s="606" t="s">
        <v>85</v>
      </c>
      <c r="D21" s="192"/>
      <c r="E21" s="444" t="s">
        <v>24</v>
      </c>
      <c r="F21" s="444" t="s">
        <v>24</v>
      </c>
      <c r="G21" s="578" t="s">
        <v>119</v>
      </c>
      <c r="H21" s="579" t="s">
        <v>23</v>
      </c>
      <c r="I21" s="429" t="s">
        <v>23</v>
      </c>
      <c r="J21" s="432" t="s">
        <v>17</v>
      </c>
      <c r="K21" s="447" t="s">
        <v>17</v>
      </c>
      <c r="L21" s="445" t="s">
        <v>25</v>
      </c>
      <c r="M21" s="445" t="s">
        <v>17</v>
      </c>
      <c r="N21" s="451" t="s">
        <v>23</v>
      </c>
      <c r="O21" s="444" t="s">
        <v>24</v>
      </c>
      <c r="P21" s="431" t="s">
        <v>17</v>
      </c>
      <c r="Q21" s="447" t="s">
        <v>25</v>
      </c>
      <c r="R21" s="447" t="s">
        <v>25</v>
      </c>
      <c r="S21" s="445" t="s">
        <v>17</v>
      </c>
      <c r="T21" s="445" t="s">
        <v>17</v>
      </c>
      <c r="U21" s="579" t="s">
        <v>23</v>
      </c>
      <c r="V21" s="448" t="s">
        <v>23</v>
      </c>
      <c r="W21" s="445" t="s">
        <v>17</v>
      </c>
      <c r="X21" s="415" t="s">
        <v>24</v>
      </c>
      <c r="Y21" s="415" t="s">
        <v>24</v>
      </c>
      <c r="Z21" s="446" t="s">
        <v>23</v>
      </c>
      <c r="AA21" s="445" t="s">
        <v>25</v>
      </c>
      <c r="AB21" s="445" t="s">
        <v>17</v>
      </c>
      <c r="AC21" s="444" t="s">
        <v>24</v>
      </c>
      <c r="AD21" s="186" t="s">
        <v>123</v>
      </c>
      <c r="AE21" s="439" t="s">
        <v>23</v>
      </c>
      <c r="AF21" s="447" t="s">
        <v>25</v>
      </c>
      <c r="AG21" s="445" t="s">
        <v>17</v>
      </c>
      <c r="AH21" s="445" t="s">
        <v>17</v>
      </c>
      <c r="AI21" s="368">
        <v>7</v>
      </c>
      <c r="AJ21" s="369">
        <v>6</v>
      </c>
      <c r="AK21" s="364">
        <v>5</v>
      </c>
      <c r="AL21" s="364">
        <v>10</v>
      </c>
      <c r="AM21" s="193" t="s">
        <v>138</v>
      </c>
      <c r="AN21" s="183" t="s">
        <v>107</v>
      </c>
    </row>
    <row r="22" spans="1:40" s="173" customFormat="1" ht="35.1" customHeight="1" x14ac:dyDescent="0.4">
      <c r="A22" s="228">
        <v>14</v>
      </c>
      <c r="B22" s="619">
        <v>100538</v>
      </c>
      <c r="C22" s="620" t="s">
        <v>179</v>
      </c>
      <c r="D22" s="234"/>
      <c r="E22" s="434" t="s">
        <v>23</v>
      </c>
      <c r="F22" s="434" t="s">
        <v>23</v>
      </c>
      <c r="G22" s="424" t="s">
        <v>23</v>
      </c>
      <c r="H22" s="434" t="s">
        <v>23</v>
      </c>
      <c r="I22" s="431" t="s">
        <v>17</v>
      </c>
      <c r="J22" s="583" t="s">
        <v>23</v>
      </c>
      <c r="K22" s="428" t="s">
        <v>17</v>
      </c>
      <c r="L22" s="423" t="s">
        <v>23</v>
      </c>
      <c r="M22" s="423" t="s">
        <v>23</v>
      </c>
      <c r="N22" s="424" t="s">
        <v>23</v>
      </c>
      <c r="O22" s="434" t="s">
        <v>23</v>
      </c>
      <c r="P22" s="431" t="s">
        <v>17</v>
      </c>
      <c r="Q22" s="583" t="s">
        <v>23</v>
      </c>
      <c r="R22" s="428" t="s">
        <v>17</v>
      </c>
      <c r="S22" s="423" t="s">
        <v>23</v>
      </c>
      <c r="T22" s="422" t="s">
        <v>24</v>
      </c>
      <c r="U22" s="422" t="s">
        <v>24</v>
      </c>
      <c r="V22" s="425" t="s">
        <v>107</v>
      </c>
      <c r="W22" s="431" t="s">
        <v>25</v>
      </c>
      <c r="X22" s="432" t="s">
        <v>25</v>
      </c>
      <c r="Y22" s="428" t="s">
        <v>17</v>
      </c>
      <c r="Z22" s="425" t="s">
        <v>17</v>
      </c>
      <c r="AA22" s="423" t="s">
        <v>23</v>
      </c>
      <c r="AB22" s="425" t="s">
        <v>106</v>
      </c>
      <c r="AC22" s="425" t="s">
        <v>17</v>
      </c>
      <c r="AD22" s="584" t="s">
        <v>24</v>
      </c>
      <c r="AE22" s="442" t="s">
        <v>17</v>
      </c>
      <c r="AF22" s="428" t="s">
        <v>17</v>
      </c>
      <c r="AG22" s="425" t="s">
        <v>25</v>
      </c>
      <c r="AH22" s="425" t="s">
        <v>17</v>
      </c>
      <c r="AI22" s="588">
        <v>7</v>
      </c>
      <c r="AJ22" s="367">
        <v>7</v>
      </c>
      <c r="AK22" s="361">
        <v>5</v>
      </c>
      <c r="AL22" s="361">
        <v>10</v>
      </c>
      <c r="AM22" s="589" t="s">
        <v>107</v>
      </c>
      <c r="AN22" s="183"/>
    </row>
    <row r="23" spans="1:40" s="173" customFormat="1" ht="35.1" customHeight="1" x14ac:dyDescent="0.4">
      <c r="A23" s="228">
        <v>15</v>
      </c>
      <c r="B23" s="269"/>
      <c r="C23" s="333"/>
      <c r="D23" s="234"/>
      <c r="E23" s="425"/>
      <c r="F23" s="425"/>
      <c r="G23" s="424"/>
      <c r="H23" s="422"/>
      <c r="I23" s="582"/>
      <c r="J23" s="583"/>
      <c r="K23" s="428"/>
      <c r="L23" s="425"/>
      <c r="M23" s="423"/>
      <c r="N23" s="422"/>
      <c r="O23" s="425"/>
      <c r="P23" s="584"/>
      <c r="Q23" s="442"/>
      <c r="R23" s="428"/>
      <c r="S23" s="423"/>
      <c r="T23" s="422"/>
      <c r="U23" s="422"/>
      <c r="V23" s="425"/>
      <c r="W23" s="585"/>
      <c r="X23" s="586"/>
      <c r="Y23" s="587"/>
      <c r="Z23" s="425"/>
      <c r="AA23" s="423"/>
      <c r="AB23" s="425"/>
      <c r="AC23" s="425"/>
      <c r="AD23" s="584"/>
      <c r="AE23" s="442"/>
      <c r="AF23" s="428"/>
      <c r="AG23" s="425"/>
      <c r="AH23" s="425"/>
      <c r="AI23" s="588"/>
      <c r="AJ23" s="367"/>
      <c r="AK23" s="361"/>
      <c r="AL23" s="361"/>
      <c r="AM23" s="589"/>
      <c r="AN23" s="183"/>
    </row>
    <row r="24" spans="1:40" s="173" customFormat="1" ht="15" customHeight="1" x14ac:dyDescent="0.25">
      <c r="A24" s="195"/>
      <c r="B24" s="196"/>
      <c r="C24" s="197"/>
      <c r="D24" s="198" t="s">
        <v>86</v>
      </c>
      <c r="E24" s="200">
        <v>4</v>
      </c>
      <c r="F24" s="200">
        <v>3</v>
      </c>
      <c r="G24" s="200">
        <v>2</v>
      </c>
      <c r="H24" s="200">
        <v>4</v>
      </c>
      <c r="I24" s="201">
        <v>3</v>
      </c>
      <c r="J24" s="319">
        <v>3</v>
      </c>
      <c r="K24" s="199">
        <v>2</v>
      </c>
      <c r="L24" s="200">
        <v>3</v>
      </c>
      <c r="M24" s="200">
        <v>3</v>
      </c>
      <c r="N24" s="200">
        <v>4</v>
      </c>
      <c r="O24" s="200">
        <v>3</v>
      </c>
      <c r="P24" s="201">
        <v>2</v>
      </c>
      <c r="Q24" s="201">
        <v>3</v>
      </c>
      <c r="R24" s="200">
        <v>2</v>
      </c>
      <c r="S24" s="200">
        <v>3</v>
      </c>
      <c r="T24" s="200">
        <v>2</v>
      </c>
      <c r="U24" s="200">
        <v>3</v>
      </c>
      <c r="V24" s="200">
        <v>3</v>
      </c>
      <c r="W24" s="201">
        <v>2</v>
      </c>
      <c r="X24" s="201">
        <v>3</v>
      </c>
      <c r="Y24" s="200">
        <v>2</v>
      </c>
      <c r="Z24" s="200">
        <v>2</v>
      </c>
      <c r="AA24" s="200">
        <v>2</v>
      </c>
      <c r="AB24" s="200">
        <v>2</v>
      </c>
      <c r="AC24" s="200">
        <v>3</v>
      </c>
      <c r="AD24" s="201">
        <v>2</v>
      </c>
      <c r="AE24" s="201">
        <v>2</v>
      </c>
      <c r="AF24" s="200">
        <v>2</v>
      </c>
      <c r="AG24" s="200">
        <v>2</v>
      </c>
      <c r="AH24" s="581">
        <v>3</v>
      </c>
      <c r="AI24" s="202"/>
      <c r="AJ24" s="203"/>
      <c r="AK24" s="204"/>
      <c r="AL24" s="204"/>
      <c r="AM24" s="205"/>
      <c r="AN24" s="206"/>
    </row>
    <row r="25" spans="1:40" s="173" customFormat="1" ht="15.75" customHeight="1" x14ac:dyDescent="0.25">
      <c r="A25" s="195"/>
      <c r="B25" s="196"/>
      <c r="C25" s="197"/>
      <c r="D25" s="207" t="s">
        <v>87</v>
      </c>
      <c r="E25" s="209">
        <v>2</v>
      </c>
      <c r="F25" s="209">
        <v>2</v>
      </c>
      <c r="G25" s="209">
        <v>3</v>
      </c>
      <c r="H25" s="209">
        <v>2</v>
      </c>
      <c r="I25" s="210">
        <v>2</v>
      </c>
      <c r="J25" s="320">
        <v>2</v>
      </c>
      <c r="K25" s="208">
        <v>2</v>
      </c>
      <c r="L25" s="209">
        <v>2</v>
      </c>
      <c r="M25" s="209">
        <v>2</v>
      </c>
      <c r="N25" s="209">
        <v>3</v>
      </c>
      <c r="O25" s="209">
        <v>2</v>
      </c>
      <c r="P25" s="210">
        <v>2</v>
      </c>
      <c r="Q25" s="210">
        <v>2</v>
      </c>
      <c r="R25" s="209">
        <v>2</v>
      </c>
      <c r="S25" s="209">
        <v>2</v>
      </c>
      <c r="T25" s="209">
        <v>2</v>
      </c>
      <c r="U25" s="209">
        <v>2</v>
      </c>
      <c r="V25" s="209">
        <v>2</v>
      </c>
      <c r="W25" s="210">
        <v>2</v>
      </c>
      <c r="X25" s="210">
        <v>2</v>
      </c>
      <c r="Y25" s="209">
        <v>2</v>
      </c>
      <c r="Z25" s="209">
        <v>2</v>
      </c>
      <c r="AA25" s="209">
        <v>2</v>
      </c>
      <c r="AB25" s="209">
        <v>2</v>
      </c>
      <c r="AC25" s="209">
        <v>3</v>
      </c>
      <c r="AD25" s="210">
        <v>3</v>
      </c>
      <c r="AE25" s="210">
        <v>2</v>
      </c>
      <c r="AF25" s="209">
        <v>2</v>
      </c>
      <c r="AG25" s="209">
        <v>2</v>
      </c>
      <c r="AH25" s="233">
        <v>3</v>
      </c>
      <c r="AI25" s="211"/>
      <c r="AJ25" s="212"/>
      <c r="AK25" s="213"/>
      <c r="AL25" s="213"/>
      <c r="AM25" s="214"/>
      <c r="AN25" s="206"/>
    </row>
    <row r="26" spans="1:40" s="173" customFormat="1" ht="15" customHeight="1" thickBot="1" x14ac:dyDescent="0.3">
      <c r="A26" s="194"/>
      <c r="B26" s="215"/>
      <c r="C26" s="216"/>
      <c r="D26" s="217" t="s">
        <v>88</v>
      </c>
      <c r="E26" s="219">
        <v>2</v>
      </c>
      <c r="F26" s="219">
        <v>2</v>
      </c>
      <c r="G26" s="219">
        <v>2</v>
      </c>
      <c r="H26" s="219">
        <v>2</v>
      </c>
      <c r="I26" s="220">
        <v>2</v>
      </c>
      <c r="J26" s="321">
        <v>2</v>
      </c>
      <c r="K26" s="218">
        <v>2</v>
      </c>
      <c r="L26" s="219">
        <v>2</v>
      </c>
      <c r="M26" s="219">
        <v>2</v>
      </c>
      <c r="N26" s="219">
        <v>2</v>
      </c>
      <c r="O26" s="219">
        <v>2</v>
      </c>
      <c r="P26" s="220">
        <v>2</v>
      </c>
      <c r="Q26" s="220">
        <v>2</v>
      </c>
      <c r="R26" s="219">
        <v>2</v>
      </c>
      <c r="S26" s="219">
        <v>2</v>
      </c>
      <c r="T26" s="219">
        <v>2</v>
      </c>
      <c r="U26" s="219">
        <v>2</v>
      </c>
      <c r="V26" s="219">
        <v>2</v>
      </c>
      <c r="W26" s="220">
        <v>2</v>
      </c>
      <c r="X26" s="220">
        <v>2</v>
      </c>
      <c r="Y26" s="219">
        <v>2</v>
      </c>
      <c r="Z26" s="219">
        <v>2</v>
      </c>
      <c r="AA26" s="219">
        <v>2</v>
      </c>
      <c r="AB26" s="219">
        <v>2</v>
      </c>
      <c r="AC26" s="219">
        <v>2</v>
      </c>
      <c r="AD26" s="220">
        <v>2</v>
      </c>
      <c r="AE26" s="220">
        <v>2</v>
      </c>
      <c r="AF26" s="219">
        <v>2</v>
      </c>
      <c r="AG26" s="219">
        <v>2</v>
      </c>
      <c r="AH26" s="234">
        <v>2</v>
      </c>
      <c r="AI26" s="211"/>
      <c r="AJ26" s="212"/>
      <c r="AK26" s="213"/>
      <c r="AL26" s="213"/>
      <c r="AM26" s="214"/>
      <c r="AN26" s="206"/>
    </row>
    <row r="27" spans="1:40" s="173" customFormat="1" ht="21" customHeight="1" thickBot="1" x14ac:dyDescent="0.3">
      <c r="A27" s="174"/>
      <c r="B27" s="650" t="s">
        <v>89</v>
      </c>
      <c r="C27" s="650"/>
      <c r="D27" s="651"/>
      <c r="E27" s="651"/>
      <c r="F27" s="651"/>
      <c r="G27" s="652"/>
      <c r="H27" s="652"/>
      <c r="I27" s="652"/>
      <c r="J27" s="652"/>
      <c r="K27" s="652"/>
      <c r="L27" s="651"/>
      <c r="M27" s="651"/>
      <c r="N27" s="651"/>
      <c r="O27" s="651"/>
      <c r="P27" s="651"/>
      <c r="Q27" s="651"/>
      <c r="R27" s="651"/>
      <c r="S27" s="651"/>
      <c r="T27" s="651"/>
      <c r="U27" s="651"/>
      <c r="V27" s="651"/>
      <c r="W27" s="651"/>
      <c r="X27" s="652"/>
      <c r="Y27" s="652"/>
      <c r="Z27" s="651"/>
      <c r="AA27" s="651"/>
      <c r="AB27" s="651"/>
      <c r="AC27" s="651"/>
      <c r="AD27" s="651"/>
      <c r="AE27" s="651"/>
      <c r="AF27" s="651"/>
      <c r="AG27" s="651"/>
      <c r="AH27" s="650"/>
      <c r="AI27" s="651"/>
      <c r="AJ27" s="651"/>
      <c r="AK27" s="651"/>
      <c r="AL27" s="651"/>
      <c r="AM27" s="651"/>
      <c r="AN27" s="653"/>
    </row>
    <row r="28" spans="1:40" s="173" customFormat="1" ht="35.1" customHeight="1" thickBot="1" x14ac:dyDescent="0.45">
      <c r="A28" s="180">
        <v>1</v>
      </c>
      <c r="B28" s="221"/>
      <c r="C28" s="222" t="s">
        <v>163</v>
      </c>
      <c r="D28" s="223" t="s">
        <v>109</v>
      </c>
      <c r="E28" s="371" t="s">
        <v>23</v>
      </c>
      <c r="F28" s="372" t="s">
        <v>23</v>
      </c>
      <c r="G28" s="373" t="s">
        <v>25</v>
      </c>
      <c r="H28" s="373" t="s">
        <v>17</v>
      </c>
      <c r="I28" s="374" t="s">
        <v>23</v>
      </c>
      <c r="J28" s="617" t="s">
        <v>17</v>
      </c>
      <c r="K28" s="393" t="s">
        <v>17</v>
      </c>
      <c r="L28" s="375" t="s">
        <v>24</v>
      </c>
      <c r="M28" s="376" t="s">
        <v>24</v>
      </c>
      <c r="N28" s="377" t="s">
        <v>25</v>
      </c>
      <c r="O28" s="377" t="s">
        <v>17</v>
      </c>
      <c r="P28" s="378" t="s">
        <v>23</v>
      </c>
      <c r="Q28" s="379" t="s">
        <v>23</v>
      </c>
      <c r="R28" s="379" t="s">
        <v>23</v>
      </c>
      <c r="S28" s="377" t="s">
        <v>17</v>
      </c>
      <c r="T28" s="372" t="s">
        <v>23</v>
      </c>
      <c r="U28" s="375" t="s">
        <v>24</v>
      </c>
      <c r="V28" s="380" t="s">
        <v>24</v>
      </c>
      <c r="W28" s="381" t="s">
        <v>17</v>
      </c>
      <c r="X28" s="456" t="s">
        <v>24</v>
      </c>
      <c r="Y28" s="456" t="s">
        <v>24</v>
      </c>
      <c r="Z28" s="382" t="s">
        <v>17</v>
      </c>
      <c r="AA28" s="383" t="s">
        <v>23</v>
      </c>
      <c r="AB28" s="383" t="s">
        <v>23</v>
      </c>
      <c r="AC28" s="383" t="s">
        <v>23</v>
      </c>
      <c r="AD28" s="383" t="s">
        <v>23</v>
      </c>
      <c r="AE28" s="393" t="s">
        <v>17</v>
      </c>
      <c r="AF28" s="393" t="s">
        <v>17</v>
      </c>
      <c r="AG28" s="382" t="s">
        <v>25</v>
      </c>
      <c r="AH28" s="397" t="s">
        <v>17</v>
      </c>
      <c r="AI28" s="223">
        <v>11</v>
      </c>
      <c r="AJ28" s="224">
        <v>6</v>
      </c>
      <c r="AK28" s="225">
        <v>3</v>
      </c>
      <c r="AL28" s="226">
        <v>10</v>
      </c>
      <c r="AM28" s="227"/>
      <c r="AN28" s="182"/>
    </row>
    <row r="29" spans="1:40" s="173" customFormat="1" ht="35.1" customHeight="1" thickBot="1" x14ac:dyDescent="0.45">
      <c r="A29" s="184">
        <v>2</v>
      </c>
      <c r="B29" s="228"/>
      <c r="C29" s="229" t="s">
        <v>164</v>
      </c>
      <c r="D29" s="187" t="s">
        <v>109</v>
      </c>
      <c r="E29" s="384" t="s">
        <v>17</v>
      </c>
      <c r="F29" s="373" t="s">
        <v>17</v>
      </c>
      <c r="G29" s="385" t="s">
        <v>23</v>
      </c>
      <c r="H29" s="386" t="s">
        <v>23</v>
      </c>
      <c r="I29" s="387" t="s">
        <v>24</v>
      </c>
      <c r="J29" s="388" t="s">
        <v>17</v>
      </c>
      <c r="K29" s="389" t="s">
        <v>23</v>
      </c>
      <c r="L29" s="373" t="s">
        <v>25</v>
      </c>
      <c r="M29" s="373" t="s">
        <v>17</v>
      </c>
      <c r="N29" s="390" t="s">
        <v>23</v>
      </c>
      <c r="O29" s="390" t="s">
        <v>23</v>
      </c>
      <c r="P29" s="391" t="s">
        <v>24</v>
      </c>
      <c r="Q29" s="392" t="s">
        <v>24</v>
      </c>
      <c r="R29" s="393" t="s">
        <v>17</v>
      </c>
      <c r="S29" s="394" t="s">
        <v>24</v>
      </c>
      <c r="T29" s="394" t="s">
        <v>24</v>
      </c>
      <c r="U29" s="373" t="s">
        <v>25</v>
      </c>
      <c r="V29" s="373" t="s">
        <v>17</v>
      </c>
      <c r="W29" s="395" t="s">
        <v>23</v>
      </c>
      <c r="X29" s="457" t="s">
        <v>23</v>
      </c>
      <c r="Y29" s="457" t="s">
        <v>23</v>
      </c>
      <c r="Z29" s="390" t="s">
        <v>23</v>
      </c>
      <c r="AA29" s="382" t="s">
        <v>17</v>
      </c>
      <c r="AB29" s="394" t="s">
        <v>24</v>
      </c>
      <c r="AC29" s="373" t="s">
        <v>25</v>
      </c>
      <c r="AD29" s="397" t="s">
        <v>17</v>
      </c>
      <c r="AE29" s="617" t="s">
        <v>17</v>
      </c>
      <c r="AF29" s="393" t="s">
        <v>17</v>
      </c>
      <c r="AG29" s="372" t="s">
        <v>23</v>
      </c>
      <c r="AH29" s="372" t="s">
        <v>23</v>
      </c>
      <c r="AI29" s="187">
        <v>11</v>
      </c>
      <c r="AJ29" s="233">
        <v>6</v>
      </c>
      <c r="AK29" s="234">
        <v>3</v>
      </c>
      <c r="AL29" s="235">
        <v>10</v>
      </c>
      <c r="AM29" s="227"/>
      <c r="AN29" s="188"/>
    </row>
    <row r="30" spans="1:40" s="173" customFormat="1" ht="35.1" customHeight="1" thickBot="1" x14ac:dyDescent="0.3">
      <c r="A30" s="184">
        <v>3</v>
      </c>
      <c r="B30" s="228"/>
      <c r="C30" s="236" t="s">
        <v>165</v>
      </c>
      <c r="D30" s="187" t="s">
        <v>110</v>
      </c>
      <c r="E30" s="452" t="s">
        <v>24</v>
      </c>
      <c r="F30" s="394" t="s">
        <v>24</v>
      </c>
      <c r="G30" s="394" t="s">
        <v>24</v>
      </c>
      <c r="H30" s="387" t="s">
        <v>24</v>
      </c>
      <c r="I30" s="397" t="s">
        <v>17</v>
      </c>
      <c r="J30" s="398" t="s">
        <v>25</v>
      </c>
      <c r="K30" s="393" t="s">
        <v>17</v>
      </c>
      <c r="L30" s="390" t="s">
        <v>23</v>
      </c>
      <c r="M30" s="396" t="s">
        <v>23</v>
      </c>
      <c r="N30" s="396" t="s">
        <v>23</v>
      </c>
      <c r="O30" s="391" t="s">
        <v>24</v>
      </c>
      <c r="P30" s="397" t="s">
        <v>25</v>
      </c>
      <c r="Q30" s="398" t="s">
        <v>17</v>
      </c>
      <c r="R30" s="393" t="s">
        <v>17</v>
      </c>
      <c r="S30" s="373" t="s">
        <v>25</v>
      </c>
      <c r="T30" s="373" t="s">
        <v>17</v>
      </c>
      <c r="U30" s="396" t="s">
        <v>23</v>
      </c>
      <c r="V30" s="399" t="s">
        <v>23</v>
      </c>
      <c r="W30" s="391" t="s">
        <v>24</v>
      </c>
      <c r="X30" s="398" t="s">
        <v>17</v>
      </c>
      <c r="Y30" s="393" t="s">
        <v>17</v>
      </c>
      <c r="Z30" s="373" t="s">
        <v>25</v>
      </c>
      <c r="AA30" s="373" t="s">
        <v>17</v>
      </c>
      <c r="AB30" s="396" t="s">
        <v>23</v>
      </c>
      <c r="AC30" s="397" t="s">
        <v>17</v>
      </c>
      <c r="AD30" s="409" t="s">
        <v>23</v>
      </c>
      <c r="AE30" s="457" t="s">
        <v>23</v>
      </c>
      <c r="AF30" s="457" t="s">
        <v>23</v>
      </c>
      <c r="AG30" s="396" t="s">
        <v>23</v>
      </c>
      <c r="AH30" s="397" t="s">
        <v>17</v>
      </c>
      <c r="AI30" s="187">
        <v>10</v>
      </c>
      <c r="AJ30" s="233">
        <v>6</v>
      </c>
      <c r="AK30" s="234">
        <v>4</v>
      </c>
      <c r="AL30" s="235">
        <v>10</v>
      </c>
      <c r="AM30" s="227"/>
      <c r="AN30" s="188"/>
    </row>
    <row r="31" spans="1:40" s="173" customFormat="1" ht="35.1" customHeight="1" thickBot="1" x14ac:dyDescent="0.45">
      <c r="A31" s="237">
        <v>4</v>
      </c>
      <c r="B31" s="238"/>
      <c r="C31" s="239" t="s">
        <v>166</v>
      </c>
      <c r="D31" s="240" t="s">
        <v>109</v>
      </c>
      <c r="E31" s="400" t="s">
        <v>23</v>
      </c>
      <c r="F31" s="401" t="s">
        <v>23</v>
      </c>
      <c r="G31" s="402" t="s">
        <v>23</v>
      </c>
      <c r="H31" s="401" t="s">
        <v>23</v>
      </c>
      <c r="I31" s="403" t="s">
        <v>17</v>
      </c>
      <c r="J31" s="404" t="s">
        <v>23</v>
      </c>
      <c r="K31" s="405" t="s">
        <v>17</v>
      </c>
      <c r="L31" s="401" t="s">
        <v>23</v>
      </c>
      <c r="M31" s="406" t="s">
        <v>23</v>
      </c>
      <c r="N31" s="401" t="s">
        <v>23</v>
      </c>
      <c r="O31" s="406" t="s">
        <v>23</v>
      </c>
      <c r="P31" s="407" t="s">
        <v>23</v>
      </c>
      <c r="Q31" s="408" t="s">
        <v>17</v>
      </c>
      <c r="R31" s="405" t="s">
        <v>17</v>
      </c>
      <c r="S31" s="406" t="s">
        <v>23</v>
      </c>
      <c r="T31" s="401" t="s">
        <v>23</v>
      </c>
      <c r="U31" s="401" t="s">
        <v>23</v>
      </c>
      <c r="V31" s="406" t="s">
        <v>23</v>
      </c>
      <c r="W31" s="409" t="s">
        <v>23</v>
      </c>
      <c r="X31" s="408" t="s">
        <v>17</v>
      </c>
      <c r="Y31" s="405" t="s">
        <v>17</v>
      </c>
      <c r="Z31" s="375" t="s">
        <v>24</v>
      </c>
      <c r="AA31" s="375" t="s">
        <v>24</v>
      </c>
      <c r="AB31" s="382" t="s">
        <v>17</v>
      </c>
      <c r="AC31" s="382" t="s">
        <v>17</v>
      </c>
      <c r="AD31" s="382" t="s">
        <v>17</v>
      </c>
      <c r="AE31" s="456" t="s">
        <v>24</v>
      </c>
      <c r="AF31" s="456" t="s">
        <v>24</v>
      </c>
      <c r="AG31" s="410" t="s">
        <v>24</v>
      </c>
      <c r="AH31" s="382" t="s">
        <v>17</v>
      </c>
      <c r="AI31" s="240">
        <v>15</v>
      </c>
      <c r="AJ31" s="241">
        <v>5</v>
      </c>
      <c r="AK31" s="219">
        <v>0</v>
      </c>
      <c r="AL31" s="242">
        <v>10</v>
      </c>
      <c r="AM31" s="227"/>
      <c r="AN31" s="243"/>
    </row>
    <row r="32" spans="1:40" s="173" customFormat="1" ht="18" customHeight="1" x14ac:dyDescent="0.25">
      <c r="A32" s="244"/>
      <c r="B32" s="196"/>
      <c r="C32" s="245"/>
      <c r="D32" s="246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8"/>
      <c r="V32" s="248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9"/>
      <c r="AJ32" s="250"/>
      <c r="AK32" s="250"/>
      <c r="AL32" s="250"/>
      <c r="AM32" s="251"/>
      <c r="AN32" s="688" t="s">
        <v>90</v>
      </c>
    </row>
    <row r="33" spans="1:43" s="173" customFormat="1" ht="18.75" customHeight="1" thickBot="1" x14ac:dyDescent="0.3">
      <c r="A33" s="244"/>
      <c r="B33" s="196"/>
      <c r="C33" s="245"/>
      <c r="D33" s="252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8"/>
      <c r="AA33" s="247"/>
      <c r="AB33" s="247"/>
      <c r="AC33" s="247"/>
      <c r="AD33" s="247"/>
      <c r="AE33" s="247"/>
      <c r="AF33" s="247"/>
      <c r="AG33" s="247"/>
      <c r="AH33" s="247"/>
      <c r="AI33" s="249"/>
      <c r="AJ33" s="250"/>
      <c r="AK33" s="250"/>
      <c r="AL33" s="250"/>
      <c r="AM33" s="250"/>
      <c r="AN33" s="253"/>
    </row>
    <row r="34" spans="1:43" s="173" customFormat="1" ht="15.75" customHeight="1" x14ac:dyDescent="0.25">
      <c r="A34" s="254"/>
      <c r="B34" s="654" t="s">
        <v>10</v>
      </c>
      <c r="C34" s="626" t="s">
        <v>12</v>
      </c>
      <c r="D34" s="255" t="s">
        <v>13</v>
      </c>
      <c r="E34" s="171" t="s">
        <v>17</v>
      </c>
      <c r="F34" s="171" t="s">
        <v>18</v>
      </c>
      <c r="G34" s="171" t="s">
        <v>18</v>
      </c>
      <c r="H34" s="171" t="s">
        <v>19</v>
      </c>
      <c r="I34" s="171" t="s">
        <v>14</v>
      </c>
      <c r="J34" s="172" t="s">
        <v>15</v>
      </c>
      <c r="K34" s="172" t="s">
        <v>16</v>
      </c>
      <c r="L34" s="171" t="s">
        <v>17</v>
      </c>
      <c r="M34" s="171" t="s">
        <v>18</v>
      </c>
      <c r="N34" s="171" t="s">
        <v>18</v>
      </c>
      <c r="O34" s="171" t="s">
        <v>19</v>
      </c>
      <c r="P34" s="171" t="s">
        <v>14</v>
      </c>
      <c r="Q34" s="172" t="s">
        <v>15</v>
      </c>
      <c r="R34" s="172" t="s">
        <v>16</v>
      </c>
      <c r="S34" s="171" t="s">
        <v>17</v>
      </c>
      <c r="T34" s="171" t="s">
        <v>18</v>
      </c>
      <c r="U34" s="171" t="s">
        <v>18</v>
      </c>
      <c r="V34" s="171" t="s">
        <v>19</v>
      </c>
      <c r="W34" s="171" t="s">
        <v>14</v>
      </c>
      <c r="X34" s="172" t="s">
        <v>15</v>
      </c>
      <c r="Y34" s="172" t="s">
        <v>16</v>
      </c>
      <c r="Z34" s="171" t="s">
        <v>17</v>
      </c>
      <c r="AA34" s="171" t="s">
        <v>18</v>
      </c>
      <c r="AB34" s="171" t="s">
        <v>18</v>
      </c>
      <c r="AC34" s="171" t="s">
        <v>19</v>
      </c>
      <c r="AD34" s="171" t="s">
        <v>14</v>
      </c>
      <c r="AE34" s="172" t="s">
        <v>15</v>
      </c>
      <c r="AF34" s="172" t="s">
        <v>16</v>
      </c>
      <c r="AG34" s="171" t="s">
        <v>17</v>
      </c>
      <c r="AH34" s="324" t="s">
        <v>18</v>
      </c>
      <c r="AI34" s="657" t="s">
        <v>20</v>
      </c>
      <c r="AJ34" s="657"/>
      <c r="AK34" s="657"/>
      <c r="AL34" s="657"/>
      <c r="AM34" s="657"/>
      <c r="AN34" s="658" t="s">
        <v>21</v>
      </c>
    </row>
    <row r="35" spans="1:43" s="173" customFormat="1" ht="18.75" customHeight="1" x14ac:dyDescent="0.25">
      <c r="A35" s="254"/>
      <c r="B35" s="655"/>
      <c r="C35" s="656"/>
      <c r="D35" s="256" t="s">
        <v>22</v>
      </c>
      <c r="E35" s="20">
        <v>1</v>
      </c>
      <c r="F35" s="257">
        <v>2</v>
      </c>
      <c r="G35" s="257">
        <v>3</v>
      </c>
      <c r="H35" s="20">
        <v>4</v>
      </c>
      <c r="I35" s="20">
        <v>5</v>
      </c>
      <c r="J35" s="20">
        <v>6</v>
      </c>
      <c r="K35" s="20">
        <v>7</v>
      </c>
      <c r="L35" s="20">
        <v>8</v>
      </c>
      <c r="M35" s="20">
        <v>9</v>
      </c>
      <c r="N35" s="20">
        <v>10</v>
      </c>
      <c r="O35" s="20">
        <v>11</v>
      </c>
      <c r="P35" s="20">
        <v>12</v>
      </c>
      <c r="Q35" s="20">
        <v>13</v>
      </c>
      <c r="R35" s="20">
        <v>14</v>
      </c>
      <c r="S35" s="20">
        <v>15</v>
      </c>
      <c r="T35" s="20">
        <v>16</v>
      </c>
      <c r="U35" s="20">
        <v>17</v>
      </c>
      <c r="V35" s="20">
        <v>18</v>
      </c>
      <c r="W35" s="20">
        <v>19</v>
      </c>
      <c r="X35" s="20">
        <v>20</v>
      </c>
      <c r="Y35" s="20">
        <v>21</v>
      </c>
      <c r="Z35" s="20">
        <v>22</v>
      </c>
      <c r="AA35" s="20">
        <v>23</v>
      </c>
      <c r="AB35" s="20">
        <v>24</v>
      </c>
      <c r="AC35" s="20">
        <v>25</v>
      </c>
      <c r="AD35" s="20">
        <v>26</v>
      </c>
      <c r="AE35" s="20">
        <v>27</v>
      </c>
      <c r="AF35" s="20">
        <v>28</v>
      </c>
      <c r="AG35" s="20">
        <v>29</v>
      </c>
      <c r="AH35" s="257">
        <v>30</v>
      </c>
      <c r="AI35" s="258" t="s">
        <v>23</v>
      </c>
      <c r="AJ35" s="259" t="s">
        <v>24</v>
      </c>
      <c r="AK35" s="260" t="s">
        <v>25</v>
      </c>
      <c r="AL35" s="260" t="s">
        <v>17</v>
      </c>
      <c r="AM35" s="261"/>
      <c r="AN35" s="659"/>
    </row>
    <row r="36" spans="1:43" s="173" customFormat="1" ht="35.1" customHeight="1" x14ac:dyDescent="0.25">
      <c r="A36" s="262">
        <v>1</v>
      </c>
      <c r="B36" s="621">
        <v>100476</v>
      </c>
      <c r="C36" s="263" t="s">
        <v>180</v>
      </c>
      <c r="D36" s="264"/>
      <c r="E36" s="453" t="s">
        <v>23</v>
      </c>
      <c r="F36" s="453" t="s">
        <v>23</v>
      </c>
      <c r="G36" s="453" t="s">
        <v>23</v>
      </c>
      <c r="H36" s="454" t="s">
        <v>23</v>
      </c>
      <c r="I36" s="454" t="s">
        <v>23</v>
      </c>
      <c r="J36" s="455" t="s">
        <v>17</v>
      </c>
      <c r="K36" s="455" t="s">
        <v>17</v>
      </c>
      <c r="L36" s="454" t="s">
        <v>23</v>
      </c>
      <c r="M36" s="454" t="s">
        <v>23</v>
      </c>
      <c r="N36" s="454" t="s">
        <v>23</v>
      </c>
      <c r="O36" s="454" t="s">
        <v>23</v>
      </c>
      <c r="P36" s="454" t="s">
        <v>23</v>
      </c>
      <c r="Q36" s="455" t="s">
        <v>17</v>
      </c>
      <c r="R36" s="455" t="s">
        <v>17</v>
      </c>
      <c r="S36" s="454" t="s">
        <v>23</v>
      </c>
      <c r="T36" s="454" t="s">
        <v>23</v>
      </c>
      <c r="U36" s="454" t="s">
        <v>23</v>
      </c>
      <c r="V36" s="454" t="s">
        <v>23</v>
      </c>
      <c r="W36" s="454" t="s">
        <v>23</v>
      </c>
      <c r="X36" s="455" t="s">
        <v>17</v>
      </c>
      <c r="Y36" s="455" t="s">
        <v>17</v>
      </c>
      <c r="Z36" s="454" t="s">
        <v>23</v>
      </c>
      <c r="AA36" s="454" t="s">
        <v>23</v>
      </c>
      <c r="AB36" s="454" t="s">
        <v>23</v>
      </c>
      <c r="AC36" s="454" t="s">
        <v>23</v>
      </c>
      <c r="AD36" s="454" t="s">
        <v>23</v>
      </c>
      <c r="AE36" s="455" t="s">
        <v>17</v>
      </c>
      <c r="AF36" s="455" t="s">
        <v>17</v>
      </c>
      <c r="AG36" s="454" t="s">
        <v>23</v>
      </c>
      <c r="AH36" s="453" t="s">
        <v>23</v>
      </c>
      <c r="AI36" s="265">
        <v>22</v>
      </c>
      <c r="AJ36" s="261">
        <v>0</v>
      </c>
      <c r="AK36" s="261">
        <v>0</v>
      </c>
      <c r="AL36" s="261">
        <v>8</v>
      </c>
      <c r="AM36" s="266"/>
      <c r="AN36" s="267"/>
    </row>
    <row r="37" spans="1:43" s="173" customFormat="1" ht="18" customHeight="1" x14ac:dyDescent="0.25">
      <c r="A37" s="268"/>
      <c r="B37" s="269"/>
      <c r="C37" s="270"/>
      <c r="D37" s="269"/>
      <c r="E37" s="231"/>
      <c r="F37" s="234"/>
      <c r="G37" s="234"/>
      <c r="H37" s="271"/>
      <c r="I37" s="271"/>
      <c r="J37" s="272"/>
      <c r="K37" s="272"/>
      <c r="L37" s="271"/>
      <c r="M37" s="271"/>
      <c r="N37" s="271"/>
      <c r="O37" s="234"/>
      <c r="P37" s="234"/>
      <c r="Q37" s="230"/>
      <c r="R37" s="232"/>
      <c r="S37" s="273"/>
      <c r="T37" s="273"/>
      <c r="U37" s="273"/>
      <c r="V37" s="231"/>
      <c r="W37" s="231"/>
      <c r="X37" s="230"/>
      <c r="Y37" s="274"/>
      <c r="Z37" s="273"/>
      <c r="AA37" s="273"/>
      <c r="AB37" s="273"/>
      <c r="AC37" s="231"/>
      <c r="AD37" s="231"/>
      <c r="AE37" s="230"/>
      <c r="AF37" s="274"/>
      <c r="AG37" s="273"/>
      <c r="AH37" s="273"/>
      <c r="AI37" s="326"/>
      <c r="AJ37" s="269"/>
      <c r="AK37" s="269"/>
      <c r="AL37" s="269"/>
      <c r="AM37" s="275"/>
      <c r="AN37" s="276"/>
    </row>
    <row r="38" spans="1:43" s="173" customFormat="1" ht="21" customHeight="1" x14ac:dyDescent="0.25">
      <c r="B38" s="248"/>
      <c r="C38" s="277"/>
      <c r="D38" s="279" t="s">
        <v>173</v>
      </c>
      <c r="E38" s="279"/>
      <c r="F38" s="279"/>
      <c r="G38" s="279"/>
      <c r="H38" s="279"/>
      <c r="I38" s="279"/>
      <c r="J38" s="280"/>
      <c r="K38" s="279"/>
      <c r="L38" s="279"/>
      <c r="M38" s="279"/>
      <c r="N38" s="280"/>
      <c r="O38" s="281"/>
      <c r="P38" s="279"/>
      <c r="Q38" s="279"/>
      <c r="R38" s="278"/>
      <c r="S38" s="248"/>
      <c r="T38" s="248"/>
      <c r="U38" s="279"/>
      <c r="V38" s="279"/>
      <c r="W38" s="280"/>
      <c r="X38" s="278"/>
      <c r="Y38" s="281"/>
      <c r="Z38" s="280"/>
      <c r="AA38" s="281"/>
      <c r="AB38" s="248"/>
      <c r="AC38" s="279"/>
      <c r="AD38" s="280"/>
      <c r="AE38" s="280"/>
      <c r="AF38" s="248"/>
      <c r="AG38" s="278"/>
      <c r="AH38" s="278"/>
      <c r="AI38" s="281"/>
      <c r="AJ38" s="248"/>
      <c r="AK38" s="248"/>
      <c r="AL38" s="281"/>
      <c r="AM38" s="248"/>
      <c r="AN38" s="282" t="s">
        <v>55</v>
      </c>
      <c r="AO38" s="143"/>
    </row>
    <row r="39" spans="1:43" s="173" customFormat="1" ht="23.25" customHeight="1" x14ac:dyDescent="0.25">
      <c r="B39" s="248"/>
      <c r="C39" s="283"/>
      <c r="D39" s="284"/>
      <c r="E39" s="284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5"/>
      <c r="AJ39" s="284"/>
      <c r="AK39" s="284"/>
      <c r="AL39" s="284"/>
      <c r="AM39" s="286"/>
      <c r="AN39" s="282" t="s">
        <v>61</v>
      </c>
      <c r="AO39" s="143"/>
      <c r="AP39" s="6"/>
      <c r="AQ39" s="160"/>
    </row>
    <row r="40" spans="1:43" s="173" customFormat="1" ht="23.25" customHeight="1" x14ac:dyDescent="0.25">
      <c r="B40" s="248"/>
      <c r="C40" s="287" t="s">
        <v>91</v>
      </c>
      <c r="D40" s="287" t="s">
        <v>92</v>
      </c>
      <c r="E40" s="287"/>
      <c r="F40" s="284"/>
      <c r="G40" s="284"/>
      <c r="H40" s="284"/>
      <c r="I40" s="284"/>
      <c r="J40" s="284"/>
      <c r="K40" s="284"/>
      <c r="L40" s="284"/>
      <c r="M40" s="288"/>
      <c r="N40" s="287" t="s">
        <v>92</v>
      </c>
      <c r="O40" s="287"/>
      <c r="P40" s="287"/>
      <c r="Q40" s="287"/>
      <c r="R40" s="287"/>
      <c r="S40" s="287"/>
      <c r="T40" s="287"/>
      <c r="U40" s="287"/>
      <c r="V40" s="287"/>
      <c r="W40" s="287" t="s">
        <v>93</v>
      </c>
      <c r="X40" s="287"/>
      <c r="Y40" s="287"/>
      <c r="Z40" s="287"/>
      <c r="AA40" s="287"/>
      <c r="AB40" s="287"/>
      <c r="AC40" s="287"/>
      <c r="AD40" s="287"/>
      <c r="AE40" s="288"/>
      <c r="AF40" s="287" t="s">
        <v>94</v>
      </c>
      <c r="AI40" s="289"/>
      <c r="AJ40" s="284"/>
      <c r="AK40" s="287"/>
      <c r="AL40" s="287"/>
      <c r="AM40" s="287"/>
      <c r="AN40" s="282" t="s">
        <v>62</v>
      </c>
      <c r="AO40" s="143"/>
      <c r="AP40" s="6"/>
      <c r="AQ40" s="13"/>
    </row>
    <row r="41" spans="1:43" s="173" customFormat="1" ht="20.25" customHeight="1" x14ac:dyDescent="0.3">
      <c r="B41" s="248"/>
      <c r="C41" s="590" t="s">
        <v>111</v>
      </c>
      <c r="D41" s="590" t="s">
        <v>113</v>
      </c>
      <c r="E41" s="590"/>
      <c r="F41" s="590"/>
      <c r="G41" s="590"/>
      <c r="H41" s="284"/>
      <c r="I41" s="284"/>
      <c r="J41" s="284"/>
      <c r="K41" s="284"/>
      <c r="L41" s="284"/>
      <c r="M41" s="288"/>
      <c r="N41" s="590" t="s">
        <v>52</v>
      </c>
      <c r="O41" s="590"/>
      <c r="P41" s="590"/>
      <c r="Q41" s="590"/>
      <c r="R41" s="590"/>
      <c r="S41" s="590"/>
      <c r="T41" s="287"/>
      <c r="U41" s="287"/>
      <c r="V41" s="287" t="s">
        <v>95</v>
      </c>
      <c r="W41" s="287" t="s">
        <v>96</v>
      </c>
      <c r="X41" s="290" t="s">
        <v>114</v>
      </c>
      <c r="Y41" s="591"/>
      <c r="Z41" s="591"/>
      <c r="AA41" s="591"/>
      <c r="AB41" s="591"/>
      <c r="AC41" s="591"/>
      <c r="AD41" s="595"/>
      <c r="AE41" s="287" t="s">
        <v>97</v>
      </c>
      <c r="AF41" s="287"/>
      <c r="AG41" s="593"/>
      <c r="AH41" s="593"/>
      <c r="AI41" s="593"/>
      <c r="AJ41" s="593"/>
      <c r="AK41" s="593"/>
      <c r="AL41" s="596"/>
      <c r="AN41" s="282" t="s">
        <v>63</v>
      </c>
      <c r="AO41" s="143"/>
      <c r="AP41" s="6"/>
      <c r="AQ41" s="13"/>
    </row>
    <row r="42" spans="1:43" s="173" customFormat="1" ht="25.5" customHeight="1" x14ac:dyDescent="0.25">
      <c r="B42" s="291"/>
      <c r="C42" s="592" t="s">
        <v>98</v>
      </c>
      <c r="D42" s="592" t="s">
        <v>167</v>
      </c>
      <c r="E42" s="592"/>
      <c r="F42" s="592"/>
      <c r="G42" s="592"/>
      <c r="H42" s="284"/>
      <c r="I42" s="284"/>
      <c r="J42" s="284"/>
      <c r="K42" s="284"/>
      <c r="L42" s="284"/>
      <c r="M42" s="334" t="s">
        <v>112</v>
      </c>
      <c r="N42" s="594"/>
      <c r="O42" s="594"/>
      <c r="P42" s="594"/>
      <c r="Q42" s="594"/>
      <c r="R42" s="594"/>
      <c r="S42" s="594"/>
      <c r="T42" s="287"/>
      <c r="U42" s="287"/>
      <c r="V42" s="287"/>
      <c r="W42" s="287"/>
      <c r="X42" s="284" t="s">
        <v>59</v>
      </c>
      <c r="Y42" s="284"/>
      <c r="Z42" s="284"/>
      <c r="AA42" s="284"/>
      <c r="AB42" s="284"/>
      <c r="AC42" s="284"/>
      <c r="AD42" s="284"/>
      <c r="AE42" s="161"/>
      <c r="AF42" s="284"/>
      <c r="AH42" s="173" t="s">
        <v>115</v>
      </c>
      <c r="AN42" s="292"/>
      <c r="AO42" s="143"/>
    </row>
    <row r="43" spans="1:43" s="173" customFormat="1" ht="25.5" customHeight="1" x14ac:dyDescent="0.25">
      <c r="B43" s="291"/>
      <c r="C43" s="293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641"/>
      <c r="AI43" s="641"/>
      <c r="AJ43" s="641"/>
      <c r="AK43" s="641"/>
      <c r="AL43" s="641"/>
      <c r="AM43" s="286"/>
      <c r="AO43" s="294"/>
    </row>
    <row r="44" spans="1:43" s="173" customFormat="1" ht="25.5" customHeight="1" x14ac:dyDescent="0.25">
      <c r="B44" s="295"/>
      <c r="C44" s="296"/>
      <c r="D44" s="297"/>
      <c r="E44" s="298"/>
      <c r="F44" s="298"/>
      <c r="G44" s="298"/>
      <c r="H44" s="298"/>
      <c r="I44" s="299"/>
      <c r="J44" s="299"/>
      <c r="K44" s="298"/>
      <c r="L44" s="298"/>
      <c r="M44" s="298"/>
      <c r="N44" s="298"/>
      <c r="O44" s="298"/>
      <c r="P44" s="299"/>
      <c r="Q44" s="299"/>
      <c r="R44" s="298"/>
      <c r="S44" s="298"/>
      <c r="T44" s="298"/>
      <c r="U44" s="298"/>
      <c r="V44" s="298"/>
      <c r="W44" s="299"/>
      <c r="X44" s="299"/>
      <c r="Y44" s="298"/>
      <c r="Z44" s="298"/>
      <c r="AA44" s="298"/>
      <c r="AB44" s="298"/>
      <c r="AC44" s="298"/>
      <c r="AD44" s="299"/>
      <c r="AE44" s="299"/>
      <c r="AF44" s="298"/>
      <c r="AG44" s="298"/>
      <c r="AH44" s="298"/>
      <c r="AI44" s="300"/>
      <c r="AO44" s="294"/>
    </row>
    <row r="45" spans="1:43" s="173" customFormat="1" ht="25.5" customHeight="1" x14ac:dyDescent="0.25">
      <c r="B45" s="295"/>
      <c r="C45" s="161"/>
      <c r="D45" s="161"/>
      <c r="E45" s="161"/>
      <c r="F45" s="161"/>
      <c r="G45" s="161"/>
      <c r="H45" s="161"/>
      <c r="I45" s="161"/>
      <c r="J45" s="295"/>
      <c r="K45" s="161"/>
      <c r="L45" s="161"/>
      <c r="M45" s="161"/>
      <c r="N45" s="295"/>
      <c r="O45" s="295"/>
      <c r="P45" s="161"/>
      <c r="Q45" s="295"/>
      <c r="R45" s="161"/>
      <c r="S45" s="295"/>
      <c r="T45" s="295"/>
      <c r="U45" s="161"/>
      <c r="V45" s="161"/>
      <c r="W45" s="295"/>
      <c r="X45" s="161"/>
      <c r="Y45" s="161"/>
      <c r="Z45" s="161"/>
      <c r="AA45" s="161"/>
      <c r="AB45" s="295"/>
      <c r="AC45" s="161"/>
      <c r="AD45" s="161"/>
      <c r="AE45" s="295"/>
      <c r="AF45" s="295"/>
      <c r="AG45" s="161"/>
      <c r="AH45" s="161"/>
      <c r="AI45" s="301"/>
      <c r="AJ45" s="295"/>
      <c r="AK45" s="295"/>
      <c r="AL45" s="295"/>
      <c r="AM45" s="295"/>
      <c r="AO45" s="294"/>
    </row>
    <row r="46" spans="1:43" s="173" customFormat="1" ht="25.5" customHeight="1" x14ac:dyDescent="0.25">
      <c r="B46" s="295"/>
      <c r="C46" s="161"/>
      <c r="D46" s="161"/>
      <c r="E46" s="161"/>
      <c r="F46" s="161"/>
      <c r="G46" s="161"/>
      <c r="H46" s="161"/>
      <c r="I46" s="161"/>
      <c r="J46" s="295"/>
      <c r="K46" s="161"/>
      <c r="L46" s="161"/>
      <c r="M46" s="161"/>
      <c r="N46" s="295"/>
      <c r="O46" s="295"/>
      <c r="P46" s="161"/>
      <c r="Q46" s="295"/>
      <c r="R46" s="161"/>
      <c r="S46" s="295"/>
      <c r="T46" s="295"/>
      <c r="U46" s="161"/>
      <c r="V46" s="161"/>
      <c r="W46" s="295"/>
      <c r="X46" s="161"/>
      <c r="Y46" s="161"/>
      <c r="Z46" s="161"/>
      <c r="AA46" s="161"/>
      <c r="AB46" s="295"/>
      <c r="AC46" s="161"/>
      <c r="AD46" s="161"/>
      <c r="AE46" s="295"/>
      <c r="AF46" s="295"/>
      <c r="AG46" s="161"/>
      <c r="AH46" s="161"/>
      <c r="AI46" s="301"/>
      <c r="AJ46" s="295"/>
      <c r="AK46" s="295"/>
      <c r="AL46" s="295"/>
      <c r="AM46" s="295"/>
      <c r="AO46" s="294"/>
    </row>
    <row r="47" spans="1:43" s="173" customFormat="1" ht="25.5" customHeight="1" x14ac:dyDescent="0.25">
      <c r="B47" s="302"/>
      <c r="C47" s="303"/>
      <c r="D47" s="304"/>
      <c r="E47" s="302"/>
      <c r="F47" s="302"/>
      <c r="G47" s="302"/>
      <c r="H47" s="302"/>
      <c r="I47" s="302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5"/>
      <c r="U47" s="303"/>
      <c r="V47" s="303"/>
      <c r="W47" s="303"/>
      <c r="X47" s="303"/>
      <c r="Y47" s="303"/>
      <c r="Z47" s="303"/>
      <c r="AA47" s="303"/>
      <c r="AB47" s="305"/>
      <c r="AC47" s="303"/>
      <c r="AD47" s="303"/>
      <c r="AE47" s="305"/>
      <c r="AF47" s="305"/>
      <c r="AG47" s="303"/>
      <c r="AH47" s="303"/>
      <c r="AI47" s="306"/>
      <c r="AJ47" s="303"/>
      <c r="AK47" s="305"/>
      <c r="AL47" s="305"/>
      <c r="AO47" s="294"/>
    </row>
    <row r="48" spans="1:43" s="173" customFormat="1" ht="25.5" customHeight="1" x14ac:dyDescent="0.25">
      <c r="B48" s="295"/>
      <c r="C48" s="161"/>
      <c r="D48" s="161"/>
      <c r="E48" s="161"/>
      <c r="F48" s="161"/>
      <c r="G48" s="161"/>
      <c r="H48" s="161"/>
      <c r="I48" s="161"/>
      <c r="J48" s="295"/>
      <c r="K48" s="161"/>
      <c r="L48" s="161"/>
      <c r="M48" s="161"/>
      <c r="N48" s="295"/>
      <c r="O48" s="295"/>
      <c r="P48" s="161"/>
      <c r="Q48" s="295"/>
      <c r="R48" s="161"/>
      <c r="S48" s="295"/>
      <c r="T48" s="295"/>
      <c r="U48" s="161"/>
      <c r="V48" s="161"/>
      <c r="W48" s="295"/>
      <c r="X48" s="161"/>
      <c r="Y48" s="161"/>
      <c r="Z48" s="161"/>
      <c r="AA48" s="161"/>
      <c r="AB48" s="295"/>
      <c r="AC48" s="161"/>
      <c r="AD48" s="161"/>
      <c r="AE48" s="295"/>
      <c r="AF48" s="295"/>
      <c r="AG48" s="161"/>
      <c r="AH48" s="161"/>
      <c r="AI48" s="301"/>
      <c r="AJ48" s="295"/>
      <c r="AK48" s="295"/>
      <c r="AL48" s="295"/>
      <c r="AM48" s="295"/>
      <c r="AN48" s="161"/>
    </row>
    <row r="49" spans="2:40" s="173" customFormat="1" ht="25.5" customHeight="1" x14ac:dyDescent="0.25">
      <c r="B49" s="295"/>
      <c r="C49" s="161"/>
      <c r="D49" s="161"/>
      <c r="E49" s="161"/>
      <c r="F49" s="161"/>
      <c r="G49" s="161"/>
      <c r="H49" s="161"/>
      <c r="I49" s="161"/>
      <c r="J49" s="295"/>
      <c r="K49" s="161"/>
      <c r="L49" s="161"/>
      <c r="M49" s="161"/>
      <c r="N49" s="295"/>
      <c r="O49" s="295"/>
      <c r="P49" s="161"/>
      <c r="Q49" s="295"/>
      <c r="R49" s="161"/>
      <c r="S49" s="295"/>
      <c r="T49" s="295"/>
      <c r="U49" s="161"/>
      <c r="V49" s="161"/>
      <c r="W49" s="295"/>
      <c r="X49" s="161"/>
      <c r="Y49" s="161"/>
      <c r="Z49" s="161"/>
      <c r="AA49" s="161"/>
      <c r="AB49" s="295"/>
      <c r="AC49" s="161"/>
      <c r="AD49" s="161"/>
      <c r="AE49" s="295"/>
      <c r="AF49" s="295"/>
      <c r="AG49" s="161"/>
      <c r="AH49" s="161"/>
      <c r="AI49" s="301"/>
      <c r="AJ49" s="295"/>
      <c r="AK49" s="295"/>
      <c r="AL49" s="295"/>
      <c r="AM49" s="295"/>
      <c r="AN49" s="161"/>
    </row>
    <row r="50" spans="2:40" s="173" customFormat="1" ht="25.5" customHeight="1" x14ac:dyDescent="0.25">
      <c r="B50" s="295"/>
      <c r="C50" s="161"/>
      <c r="D50" s="161"/>
      <c r="E50" s="161"/>
      <c r="F50" s="161"/>
      <c r="G50" s="161"/>
      <c r="H50" s="161"/>
      <c r="I50" s="161"/>
      <c r="J50" s="295"/>
      <c r="K50" s="161"/>
      <c r="L50" s="161"/>
      <c r="M50" s="161"/>
      <c r="N50" s="295"/>
      <c r="O50" s="295"/>
      <c r="P50" s="161"/>
      <c r="Q50" s="295"/>
      <c r="R50" s="161"/>
      <c r="S50" s="295"/>
      <c r="T50" s="295"/>
      <c r="U50" s="161"/>
      <c r="V50" s="161"/>
      <c r="W50" s="295"/>
      <c r="X50" s="161"/>
      <c r="Y50" s="161"/>
      <c r="Z50" s="161"/>
      <c r="AA50" s="161"/>
      <c r="AB50" s="295"/>
      <c r="AC50" s="161"/>
      <c r="AD50" s="161"/>
      <c r="AE50" s="295"/>
      <c r="AF50" s="295"/>
      <c r="AG50" s="161"/>
      <c r="AH50" s="161"/>
      <c r="AI50" s="301"/>
      <c r="AJ50" s="295"/>
      <c r="AK50" s="295"/>
      <c r="AL50" s="295"/>
      <c r="AM50" s="295"/>
      <c r="AN50" s="161"/>
    </row>
    <row r="51" spans="2:40" s="173" customFormat="1" ht="25.5" customHeight="1" x14ac:dyDescent="0.25">
      <c r="B51" s="295"/>
      <c r="C51" s="161"/>
      <c r="D51" s="161"/>
      <c r="E51" s="161"/>
      <c r="F51" s="161"/>
      <c r="G51" s="161"/>
      <c r="H51" s="161"/>
      <c r="I51" s="161"/>
      <c r="J51" s="295"/>
      <c r="K51" s="161"/>
      <c r="L51" s="161"/>
      <c r="M51" s="161"/>
      <c r="N51" s="295"/>
      <c r="O51" s="295"/>
      <c r="P51" s="161"/>
      <c r="Q51" s="295"/>
      <c r="R51" s="161"/>
      <c r="S51" s="295"/>
      <c r="T51" s="295"/>
      <c r="U51" s="161"/>
      <c r="V51" s="161"/>
      <c r="W51" s="295"/>
      <c r="X51" s="161"/>
      <c r="Y51" s="161"/>
      <c r="Z51" s="161"/>
      <c r="AA51" s="161"/>
      <c r="AB51" s="295"/>
      <c r="AC51" s="161"/>
      <c r="AD51" s="161"/>
      <c r="AE51" s="295"/>
      <c r="AF51" s="295"/>
      <c r="AG51" s="161"/>
      <c r="AH51" s="161"/>
      <c r="AI51" s="301"/>
      <c r="AJ51" s="295"/>
      <c r="AK51" s="295"/>
      <c r="AL51" s="295"/>
      <c r="AM51" s="295"/>
      <c r="AN51" s="161"/>
    </row>
    <row r="52" spans="2:40" s="173" customFormat="1" ht="25.5" customHeight="1" x14ac:dyDescent="0.25">
      <c r="B52" s="295"/>
      <c r="C52" s="161"/>
      <c r="D52" s="161"/>
      <c r="E52" s="161"/>
      <c r="F52" s="161"/>
      <c r="G52" s="161"/>
      <c r="H52" s="161"/>
      <c r="I52" s="161"/>
      <c r="J52" s="295"/>
      <c r="K52" s="161"/>
      <c r="L52" s="161"/>
      <c r="M52" s="161"/>
      <c r="N52" s="295"/>
      <c r="O52" s="295"/>
      <c r="P52" s="161"/>
      <c r="Q52" s="295"/>
      <c r="R52" s="161"/>
      <c r="S52" s="295"/>
      <c r="T52" s="295"/>
      <c r="U52" s="161"/>
      <c r="V52" s="161"/>
      <c r="W52" s="295"/>
      <c r="X52" s="161"/>
      <c r="Y52" s="161"/>
      <c r="Z52" s="161"/>
      <c r="AA52" s="161"/>
      <c r="AB52" s="295"/>
      <c r="AC52" s="161"/>
      <c r="AD52" s="161"/>
      <c r="AE52" s="295"/>
      <c r="AF52" s="295"/>
      <c r="AG52" s="161"/>
      <c r="AH52" s="161"/>
      <c r="AI52" s="301"/>
      <c r="AJ52" s="295"/>
      <c r="AK52" s="295"/>
      <c r="AL52" s="295"/>
      <c r="AM52" s="295"/>
      <c r="AN52" s="161"/>
    </row>
    <row r="53" spans="2:40" s="173" customFormat="1" ht="25.5" customHeight="1" x14ac:dyDescent="0.25">
      <c r="B53" s="295"/>
      <c r="C53" s="161"/>
      <c r="D53" s="161"/>
      <c r="E53" s="161"/>
      <c r="F53" s="161"/>
      <c r="G53" s="161"/>
      <c r="H53" s="161"/>
      <c r="I53" s="161"/>
      <c r="J53" s="295"/>
      <c r="K53" s="161"/>
      <c r="L53" s="161"/>
      <c r="M53" s="161"/>
      <c r="N53" s="295"/>
      <c r="O53" s="295"/>
      <c r="P53" s="161"/>
      <c r="Q53" s="295"/>
      <c r="R53" s="161"/>
      <c r="S53" s="295"/>
      <c r="T53" s="295"/>
      <c r="U53" s="161"/>
      <c r="V53" s="161"/>
      <c r="W53" s="295"/>
      <c r="X53" s="161"/>
      <c r="Y53" s="161"/>
      <c r="Z53" s="161"/>
      <c r="AA53" s="161"/>
      <c r="AB53" s="295"/>
      <c r="AC53" s="161"/>
      <c r="AD53" s="161"/>
      <c r="AE53" s="295"/>
      <c r="AF53" s="295"/>
      <c r="AG53" s="161"/>
      <c r="AH53" s="161"/>
      <c r="AI53" s="301"/>
      <c r="AJ53" s="295"/>
      <c r="AK53" s="295"/>
      <c r="AL53" s="295"/>
      <c r="AM53" s="295"/>
      <c r="AN53" s="161"/>
    </row>
    <row r="54" spans="2:40" s="173" customFormat="1" ht="25.5" customHeight="1" x14ac:dyDescent="0.25">
      <c r="B54" s="295"/>
      <c r="C54" s="161"/>
      <c r="D54" s="161"/>
      <c r="E54" s="161"/>
      <c r="F54" s="161"/>
      <c r="G54" s="161"/>
      <c r="H54" s="161"/>
      <c r="I54" s="161"/>
      <c r="J54" s="295"/>
      <c r="K54" s="161"/>
      <c r="L54" s="161"/>
      <c r="M54" s="161"/>
      <c r="N54" s="295"/>
      <c r="O54" s="295"/>
      <c r="P54" s="161"/>
      <c r="Q54" s="295"/>
      <c r="R54" s="161"/>
      <c r="S54" s="295"/>
      <c r="T54" s="295"/>
      <c r="U54" s="161"/>
      <c r="V54" s="161"/>
      <c r="W54" s="295"/>
      <c r="X54" s="161"/>
      <c r="Y54" s="161"/>
      <c r="Z54" s="161"/>
      <c r="AA54" s="161"/>
      <c r="AB54" s="295"/>
      <c r="AC54" s="161"/>
      <c r="AD54" s="161"/>
      <c r="AE54" s="295"/>
      <c r="AF54" s="295"/>
      <c r="AG54" s="161"/>
      <c r="AH54" s="161"/>
      <c r="AI54" s="301"/>
      <c r="AJ54" s="295"/>
      <c r="AK54" s="295"/>
      <c r="AL54" s="295"/>
      <c r="AM54" s="295"/>
      <c r="AN54" s="161"/>
    </row>
    <row r="55" spans="2:40" ht="22.5" x14ac:dyDescent="0.3">
      <c r="B55" s="160"/>
      <c r="C55" s="161"/>
      <c r="D55" s="161"/>
      <c r="E55" s="161"/>
      <c r="F55" s="161"/>
      <c r="G55" s="161"/>
      <c r="H55" s="161"/>
      <c r="I55" s="161"/>
      <c r="J55" s="295"/>
      <c r="K55" s="161"/>
      <c r="L55" s="161"/>
      <c r="M55" s="161"/>
      <c r="N55" s="295"/>
      <c r="O55" s="295"/>
      <c r="P55" s="161"/>
      <c r="Q55" s="295"/>
      <c r="R55" s="161"/>
      <c r="S55" s="295"/>
      <c r="T55" s="295"/>
      <c r="U55" s="161"/>
      <c r="V55" s="161"/>
      <c r="W55" s="295"/>
      <c r="X55" s="161"/>
      <c r="Y55" s="161"/>
      <c r="Z55" s="161"/>
      <c r="AA55" s="161"/>
      <c r="AB55" s="295"/>
      <c r="AC55" s="161"/>
      <c r="AD55" s="161"/>
      <c r="AE55" s="307"/>
      <c r="AF55" s="295"/>
      <c r="AG55" s="161"/>
      <c r="AH55" s="161"/>
      <c r="AI55" s="301"/>
      <c r="AJ55" s="163"/>
      <c r="AK55" s="295"/>
      <c r="AL55" s="295"/>
      <c r="AM55" s="160"/>
      <c r="AN55" s="161"/>
    </row>
    <row r="56" spans="2:40" ht="15.75" x14ac:dyDescent="0.25">
      <c r="B56" s="160"/>
      <c r="C56" s="161"/>
      <c r="D56" s="161"/>
      <c r="E56" s="161"/>
      <c r="F56" s="161"/>
      <c r="G56" s="161"/>
      <c r="H56" s="161"/>
      <c r="I56" s="161"/>
      <c r="J56" s="295"/>
      <c r="K56" s="161"/>
      <c r="L56" s="161"/>
      <c r="M56" s="161"/>
      <c r="N56" s="295"/>
      <c r="O56" s="295"/>
      <c r="P56" s="161"/>
      <c r="Q56" s="295"/>
      <c r="R56" s="161"/>
      <c r="S56" s="295"/>
      <c r="T56" s="295"/>
      <c r="U56" s="161"/>
      <c r="V56" s="161"/>
      <c r="W56" s="295"/>
      <c r="X56" s="161"/>
      <c r="Y56" s="161"/>
      <c r="Z56" s="161"/>
      <c r="AA56" s="161"/>
      <c r="AB56" s="295"/>
      <c r="AC56" s="161"/>
      <c r="AD56" s="161"/>
      <c r="AE56" s="295"/>
      <c r="AF56" s="295"/>
      <c r="AG56" s="161"/>
      <c r="AH56" s="161"/>
      <c r="AI56" s="301"/>
      <c r="AJ56" s="163"/>
      <c r="AK56" s="295"/>
      <c r="AL56" s="295"/>
      <c r="AM56" s="160"/>
      <c r="AN56" s="161"/>
    </row>
    <row r="57" spans="2:40" ht="15.75" x14ac:dyDescent="0.25">
      <c r="B57" s="160"/>
      <c r="C57" s="161"/>
      <c r="D57" s="161"/>
      <c r="E57" s="161"/>
      <c r="F57" s="161"/>
      <c r="G57" s="161"/>
      <c r="H57" s="161"/>
      <c r="I57" s="161"/>
      <c r="J57" s="295"/>
      <c r="K57" s="161"/>
      <c r="L57" s="161"/>
      <c r="M57" s="161"/>
      <c r="N57" s="295"/>
      <c r="O57" s="295"/>
      <c r="P57" s="161"/>
      <c r="Q57" s="295"/>
      <c r="R57" s="161"/>
      <c r="S57" s="295"/>
      <c r="T57" s="295"/>
      <c r="U57" s="161"/>
      <c r="V57" s="161"/>
      <c r="W57" s="295"/>
      <c r="X57" s="161"/>
      <c r="Y57" s="161"/>
      <c r="Z57" s="161"/>
      <c r="AA57" s="161"/>
      <c r="AB57" s="295"/>
      <c r="AC57" s="161"/>
      <c r="AD57" s="161"/>
      <c r="AE57" s="295"/>
      <c r="AF57" s="295"/>
      <c r="AG57" s="161"/>
      <c r="AH57" s="161"/>
      <c r="AI57" s="301"/>
      <c r="AJ57" s="163"/>
      <c r="AK57" s="295"/>
      <c r="AL57" s="295"/>
      <c r="AM57" s="160"/>
      <c r="AN57" s="161"/>
    </row>
    <row r="58" spans="2:40" ht="15.75" x14ac:dyDescent="0.25">
      <c r="B58" s="160"/>
      <c r="C58" s="161"/>
      <c r="D58" s="161"/>
      <c r="E58" s="161"/>
      <c r="F58" s="161"/>
      <c r="G58" s="161"/>
      <c r="H58" s="161"/>
      <c r="I58" s="161"/>
      <c r="J58" s="295"/>
      <c r="K58" s="161"/>
      <c r="L58" s="161"/>
      <c r="M58" s="161"/>
      <c r="N58" s="295"/>
      <c r="O58" s="295"/>
      <c r="P58" s="161"/>
      <c r="Q58" s="295"/>
      <c r="R58" s="161"/>
      <c r="S58" s="295"/>
      <c r="T58" s="295"/>
      <c r="U58" s="161"/>
      <c r="V58" s="161"/>
      <c r="W58" s="295"/>
      <c r="X58" s="161"/>
      <c r="Y58" s="161"/>
      <c r="Z58" s="161"/>
      <c r="AA58" s="161"/>
      <c r="AB58" s="295"/>
      <c r="AC58" s="161"/>
      <c r="AD58" s="161"/>
      <c r="AE58" s="295"/>
      <c r="AF58" s="295"/>
      <c r="AG58" s="161"/>
      <c r="AH58" s="161"/>
      <c r="AI58" s="301"/>
      <c r="AJ58" s="163"/>
      <c r="AK58" s="295"/>
      <c r="AL58" s="295"/>
      <c r="AM58" s="160"/>
      <c r="AN58" s="161"/>
    </row>
    <row r="59" spans="2:40" ht="15.75" x14ac:dyDescent="0.25">
      <c r="B59" s="160"/>
      <c r="C59" s="161"/>
      <c r="D59" s="161"/>
      <c r="E59" s="161"/>
      <c r="F59" s="161"/>
      <c r="G59" s="161"/>
      <c r="H59" s="161"/>
      <c r="I59" s="161"/>
      <c r="J59" s="295"/>
      <c r="K59" s="161"/>
      <c r="L59" s="161"/>
      <c r="M59" s="161"/>
      <c r="N59" s="295"/>
      <c r="O59" s="295"/>
      <c r="P59" s="161"/>
      <c r="Q59" s="295"/>
      <c r="R59" s="161"/>
      <c r="S59" s="295"/>
      <c r="T59" s="295"/>
      <c r="U59" s="161"/>
      <c r="V59" s="161"/>
      <c r="W59" s="295"/>
      <c r="X59" s="161"/>
      <c r="Y59" s="161"/>
      <c r="Z59" s="161"/>
      <c r="AA59" s="161"/>
      <c r="AB59" s="295"/>
      <c r="AC59" s="161"/>
      <c r="AD59" s="161"/>
      <c r="AE59" s="295"/>
      <c r="AF59" s="295"/>
      <c r="AG59" s="161"/>
      <c r="AH59" s="161"/>
      <c r="AI59" s="301"/>
      <c r="AJ59" s="163"/>
      <c r="AK59" s="295"/>
      <c r="AL59" s="295"/>
      <c r="AM59" s="160"/>
      <c r="AN59" s="161"/>
    </row>
    <row r="60" spans="2:40" ht="15.75" x14ac:dyDescent="0.25">
      <c r="B60" s="160"/>
      <c r="C60" s="161"/>
      <c r="D60" s="161"/>
      <c r="E60" s="161"/>
      <c r="F60" s="161"/>
      <c r="G60" s="161"/>
      <c r="H60" s="161"/>
      <c r="I60" s="161"/>
      <c r="J60" s="295"/>
      <c r="K60" s="161"/>
      <c r="L60" s="161"/>
      <c r="M60" s="161"/>
      <c r="N60" s="295"/>
      <c r="O60" s="295"/>
      <c r="P60" s="161"/>
      <c r="Q60" s="295"/>
      <c r="R60" s="161"/>
      <c r="S60" s="295"/>
      <c r="T60" s="295"/>
      <c r="U60" s="161"/>
      <c r="V60" s="161"/>
      <c r="W60" s="295"/>
      <c r="X60" s="161"/>
      <c r="Y60" s="161"/>
      <c r="Z60" s="161"/>
      <c r="AA60" s="161"/>
      <c r="AB60" s="295"/>
      <c r="AC60" s="161"/>
      <c r="AD60" s="161"/>
      <c r="AE60" s="295"/>
      <c r="AF60" s="295"/>
      <c r="AG60" s="161"/>
      <c r="AH60" s="161"/>
      <c r="AI60" s="301"/>
      <c r="AJ60" s="163"/>
      <c r="AK60" s="295"/>
      <c r="AL60" s="295"/>
      <c r="AM60" s="160"/>
      <c r="AN60" s="161"/>
    </row>
    <row r="61" spans="2:40" ht="15.75" x14ac:dyDescent="0.25">
      <c r="B61" s="160"/>
      <c r="C61" s="161"/>
      <c r="D61" s="161"/>
      <c r="E61" s="161"/>
      <c r="F61" s="161"/>
      <c r="G61" s="161"/>
      <c r="H61" s="161"/>
      <c r="I61" s="161"/>
      <c r="J61" s="295"/>
      <c r="K61" s="161"/>
      <c r="L61" s="161"/>
      <c r="M61" s="161"/>
      <c r="N61" s="295"/>
      <c r="O61" s="295"/>
      <c r="P61" s="161"/>
      <c r="Q61" s="295"/>
      <c r="R61" s="161"/>
      <c r="S61" s="295"/>
      <c r="T61" s="295"/>
      <c r="U61" s="161"/>
      <c r="V61" s="161"/>
      <c r="W61" s="295"/>
      <c r="X61" s="161"/>
      <c r="Y61" s="161"/>
      <c r="Z61" s="161"/>
      <c r="AA61" s="161"/>
      <c r="AB61" s="295"/>
      <c r="AC61" s="161"/>
      <c r="AD61" s="161"/>
      <c r="AE61" s="295"/>
      <c r="AF61" s="295"/>
      <c r="AG61" s="161"/>
      <c r="AH61" s="161"/>
      <c r="AI61" s="301"/>
      <c r="AJ61" s="163"/>
      <c r="AK61" s="295"/>
      <c r="AL61" s="295"/>
      <c r="AM61" s="160"/>
      <c r="AN61" s="161"/>
    </row>
  </sheetData>
  <mergeCells count="22">
    <mergeCell ref="D1:AM1"/>
    <mergeCell ref="D2:AM2"/>
    <mergeCell ref="D3:H3"/>
    <mergeCell ref="I3:P3"/>
    <mergeCell ref="X3:AA3"/>
    <mergeCell ref="AB3:AH3"/>
    <mergeCell ref="D4:H4"/>
    <mergeCell ref="I4:P4"/>
    <mergeCell ref="X4:AA4"/>
    <mergeCell ref="AB4:AH4"/>
    <mergeCell ref="D5:H5"/>
    <mergeCell ref="I5:AH5"/>
    <mergeCell ref="AH43:AL43"/>
    <mergeCell ref="B7:B8"/>
    <mergeCell ref="C7:C8"/>
    <mergeCell ref="AI7:AM7"/>
    <mergeCell ref="AN7:AN8"/>
    <mergeCell ref="B27:AN27"/>
    <mergeCell ref="B34:B35"/>
    <mergeCell ref="C34:C35"/>
    <mergeCell ref="AI34:AM34"/>
    <mergeCell ref="AN34:AN35"/>
  </mergeCells>
  <conditionalFormatting sqref="C24:C25">
    <cfRule type="duplicateValues" dxfId="18" priority="8"/>
  </conditionalFormatting>
  <conditionalFormatting sqref="B27 C26">
    <cfRule type="duplicateValues" dxfId="17" priority="9"/>
  </conditionalFormatting>
  <conditionalFormatting sqref="C38">
    <cfRule type="duplicateValues" dxfId="16" priority="10"/>
  </conditionalFormatting>
  <conditionalFormatting sqref="C28">
    <cfRule type="duplicateValues" dxfId="15" priority="6"/>
  </conditionalFormatting>
  <conditionalFormatting sqref="C29">
    <cfRule type="duplicateValues" dxfId="14" priority="7"/>
  </conditionalFormatting>
  <conditionalFormatting sqref="C21 C11">
    <cfRule type="duplicateValues" dxfId="13" priority="4"/>
  </conditionalFormatting>
  <conditionalFormatting sqref="C32:C33">
    <cfRule type="duplicateValues" dxfId="12" priority="12"/>
  </conditionalFormatting>
  <conditionalFormatting sqref="C9">
    <cfRule type="duplicateValues" dxfId="11" priority="13"/>
  </conditionalFormatting>
  <conditionalFormatting sqref="C35:C37">
    <cfRule type="duplicateValues" dxfId="10" priority="14"/>
  </conditionalFormatting>
  <conditionalFormatting sqref="C30">
    <cfRule type="duplicateValues" dxfId="9" priority="2"/>
  </conditionalFormatting>
  <conditionalFormatting sqref="C22:C23">
    <cfRule type="duplicateValues" dxfId="8" priority="1"/>
  </conditionalFormatting>
  <pageMargins left="0.31496062992125984" right="0.31496062992125984" top="0.74803149606299213" bottom="0.74803149606299213" header="0.31496062992125984" footer="0.31496062992125984"/>
  <pageSetup paperSize="5" scale="41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1"/>
  <sheetViews>
    <sheetView showGridLines="0" view="pageBreakPreview" zoomScale="51" zoomScaleNormal="78" zoomScaleSheetLayoutView="51" workbookViewId="0">
      <selection activeCell="J13" sqref="J13"/>
    </sheetView>
  </sheetViews>
  <sheetFormatPr baseColWidth="10" defaultColWidth="11.42578125" defaultRowHeight="15" x14ac:dyDescent="0.25"/>
  <cols>
    <col min="1" max="1" width="11.5703125" style="463" customWidth="1"/>
    <col min="2" max="2" width="19.42578125" style="464" customWidth="1"/>
    <col min="3" max="3" width="96.42578125" customWidth="1"/>
    <col min="4" max="4" width="14.140625" customWidth="1"/>
    <col min="5" max="34" width="7.7109375" customWidth="1"/>
    <col min="35" max="36" width="7.28515625" style="463" customWidth="1"/>
    <col min="37" max="37" width="9.5703125" style="463" customWidth="1"/>
    <col min="38" max="38" width="42.85546875" style="463" customWidth="1"/>
    <col min="39" max="39" width="77" style="467" customWidth="1"/>
  </cols>
  <sheetData>
    <row r="1" spans="1:39" ht="33.75" x14ac:dyDescent="0.5"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6"/>
      <c r="AJ1" s="466"/>
      <c r="AK1" s="466"/>
      <c r="AL1" s="466"/>
    </row>
    <row r="2" spans="1:39" ht="33.75" x14ac:dyDescent="0.5"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</row>
    <row r="3" spans="1:39" ht="33.75" x14ac:dyDescent="0.5">
      <c r="D3" s="685" t="s">
        <v>67</v>
      </c>
      <c r="E3" s="685"/>
      <c r="F3" s="685"/>
      <c r="G3" s="685"/>
      <c r="H3" s="685"/>
      <c r="I3" s="685"/>
      <c r="J3" s="685"/>
      <c r="K3" s="685"/>
      <c r="L3" s="685"/>
      <c r="M3" s="685"/>
      <c r="N3" s="685"/>
      <c r="O3" s="685"/>
      <c r="P3" s="685"/>
      <c r="Q3" s="685"/>
      <c r="R3" s="685"/>
      <c r="S3" s="685"/>
      <c r="T3" s="685"/>
      <c r="U3" s="685"/>
      <c r="V3" s="685"/>
      <c r="W3" s="685"/>
      <c r="X3" s="685"/>
      <c r="Y3" s="685"/>
      <c r="Z3" s="685"/>
      <c r="AA3" s="685"/>
      <c r="AB3" s="685"/>
      <c r="AC3" s="685"/>
      <c r="AD3" s="685"/>
      <c r="AE3" s="685"/>
      <c r="AF3" s="685"/>
      <c r="AG3" s="685"/>
      <c r="AH3" s="685"/>
      <c r="AI3" s="685"/>
      <c r="AJ3" s="685"/>
      <c r="AK3" s="685"/>
      <c r="AL3" s="685"/>
    </row>
    <row r="4" spans="1:39" ht="33.75" x14ac:dyDescent="0.5">
      <c r="D4" s="685" t="s">
        <v>1</v>
      </c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  <c r="P4" s="685"/>
      <c r="Q4" s="685"/>
      <c r="R4" s="685"/>
      <c r="S4" s="685"/>
      <c r="T4" s="685"/>
      <c r="U4" s="685"/>
      <c r="V4" s="685"/>
      <c r="W4" s="685"/>
      <c r="X4" s="685"/>
      <c r="Y4" s="685"/>
      <c r="Z4" s="685"/>
      <c r="AA4" s="685"/>
      <c r="AB4" s="685"/>
      <c r="AC4" s="685"/>
      <c r="AD4" s="685"/>
      <c r="AE4" s="685"/>
      <c r="AF4" s="685"/>
      <c r="AG4" s="685"/>
      <c r="AH4" s="685"/>
      <c r="AI4" s="685"/>
      <c r="AJ4" s="685"/>
      <c r="AK4" s="685"/>
      <c r="AL4" s="685"/>
    </row>
    <row r="5" spans="1:39" ht="33.75" x14ac:dyDescent="0.5">
      <c r="D5" s="685" t="s">
        <v>2</v>
      </c>
      <c r="E5" s="685"/>
      <c r="F5" s="685"/>
      <c r="G5" s="685"/>
      <c r="H5" s="685"/>
      <c r="I5" s="686" t="s">
        <v>139</v>
      </c>
      <c r="J5" s="686"/>
      <c r="K5" s="686"/>
      <c r="L5" s="686"/>
      <c r="M5" s="686"/>
      <c r="N5" s="686"/>
      <c r="O5" s="686"/>
      <c r="P5" s="686"/>
      <c r="Q5" s="468"/>
      <c r="R5" s="468"/>
      <c r="S5" s="468"/>
      <c r="T5" s="468"/>
      <c r="U5" s="468"/>
      <c r="V5" s="468"/>
      <c r="W5" s="468"/>
      <c r="X5" s="685" t="s">
        <v>4</v>
      </c>
      <c r="Y5" s="685"/>
      <c r="Z5" s="685"/>
      <c r="AA5" s="685"/>
      <c r="AB5" s="686" t="s">
        <v>66</v>
      </c>
      <c r="AC5" s="686"/>
      <c r="AD5" s="686"/>
      <c r="AE5" s="686"/>
      <c r="AF5" s="686"/>
      <c r="AG5" s="686"/>
      <c r="AH5" s="686"/>
      <c r="AI5" s="466"/>
      <c r="AJ5" s="466"/>
      <c r="AK5" s="466"/>
      <c r="AL5" s="466"/>
    </row>
    <row r="6" spans="1:39" ht="33.75" x14ac:dyDescent="0.5">
      <c r="D6" s="685" t="s">
        <v>5</v>
      </c>
      <c r="E6" s="685"/>
      <c r="F6" s="685"/>
      <c r="G6" s="685"/>
      <c r="H6" s="685"/>
      <c r="I6" s="686" t="s">
        <v>140</v>
      </c>
      <c r="J6" s="686"/>
      <c r="K6" s="686"/>
      <c r="L6" s="686"/>
      <c r="M6" s="686"/>
      <c r="N6" s="686"/>
      <c r="O6" s="686"/>
      <c r="P6" s="686"/>
      <c r="Q6" s="468"/>
      <c r="R6" s="468"/>
      <c r="S6" s="468"/>
      <c r="T6" s="468"/>
      <c r="U6" s="468"/>
      <c r="V6" s="468"/>
      <c r="W6" s="468"/>
      <c r="X6" s="685" t="s">
        <v>7</v>
      </c>
      <c r="Y6" s="685"/>
      <c r="Z6" s="685"/>
      <c r="AA6" s="685"/>
      <c r="AB6" s="687">
        <v>2026</v>
      </c>
      <c r="AC6" s="687"/>
      <c r="AD6" s="687"/>
      <c r="AE6" s="687"/>
      <c r="AF6" s="687"/>
      <c r="AG6" s="687"/>
      <c r="AH6" s="687"/>
      <c r="AI6" s="466"/>
      <c r="AJ6" s="466"/>
      <c r="AK6" s="466"/>
      <c r="AL6" s="466"/>
    </row>
    <row r="7" spans="1:39" ht="33.75" x14ac:dyDescent="0.5">
      <c r="C7" s="469"/>
      <c r="D7" s="685" t="s">
        <v>8</v>
      </c>
      <c r="E7" s="685"/>
      <c r="F7" s="685"/>
      <c r="G7" s="685"/>
      <c r="H7" s="685"/>
      <c r="I7" s="686" t="s">
        <v>141</v>
      </c>
      <c r="J7" s="686"/>
      <c r="K7" s="686"/>
      <c r="L7" s="686"/>
      <c r="M7" s="686"/>
      <c r="N7" s="686"/>
      <c r="O7" s="686"/>
      <c r="P7" s="686"/>
      <c r="Q7" s="686"/>
      <c r="R7" s="686"/>
      <c r="S7" s="686"/>
      <c r="T7" s="686"/>
      <c r="U7" s="686"/>
      <c r="V7" s="686"/>
      <c r="W7" s="686"/>
      <c r="X7" s="686"/>
      <c r="Y7" s="686"/>
      <c r="Z7" s="686"/>
      <c r="AA7" s="686"/>
      <c r="AB7" s="686"/>
      <c r="AC7" s="686"/>
      <c r="AD7" s="686"/>
      <c r="AE7" s="686"/>
      <c r="AF7" s="686"/>
      <c r="AG7" s="686"/>
      <c r="AH7" s="686"/>
      <c r="AI7" s="466"/>
      <c r="AJ7" s="466"/>
      <c r="AK7" s="466"/>
      <c r="AL7" s="466"/>
    </row>
    <row r="8" spans="1:39" ht="34.5" thickBot="1" x14ac:dyDescent="0.55000000000000004">
      <c r="C8" s="469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0"/>
      <c r="O8" s="470"/>
      <c r="P8" s="470"/>
      <c r="Q8" s="470"/>
      <c r="R8" s="470"/>
      <c r="S8" s="470"/>
      <c r="T8" s="470"/>
      <c r="U8" s="470"/>
      <c r="V8" s="470"/>
      <c r="W8" s="470"/>
      <c r="X8" s="470"/>
      <c r="Y8" s="470"/>
      <c r="Z8" s="470"/>
      <c r="AA8" s="470"/>
      <c r="AB8" s="470"/>
      <c r="AC8" s="470"/>
      <c r="AD8" s="470"/>
      <c r="AE8" s="470"/>
      <c r="AF8" s="470"/>
      <c r="AG8" s="470"/>
      <c r="AH8" s="470"/>
      <c r="AI8" s="466"/>
      <c r="AJ8" s="466"/>
      <c r="AK8" s="466"/>
      <c r="AL8" s="466"/>
    </row>
    <row r="9" spans="1:39" ht="27.75" x14ac:dyDescent="0.25">
      <c r="A9" s="671" t="s">
        <v>10</v>
      </c>
      <c r="B9" s="673" t="s">
        <v>11</v>
      </c>
      <c r="C9" s="675" t="s">
        <v>12</v>
      </c>
      <c r="D9" s="471" t="s">
        <v>13</v>
      </c>
      <c r="E9" s="471" t="s">
        <v>17</v>
      </c>
      <c r="F9" s="471" t="s">
        <v>18</v>
      </c>
      <c r="G9" s="471" t="s">
        <v>18</v>
      </c>
      <c r="H9" s="471" t="s">
        <v>19</v>
      </c>
      <c r="I9" s="471" t="s">
        <v>14</v>
      </c>
      <c r="J9" s="472" t="s">
        <v>15</v>
      </c>
      <c r="K9" s="472" t="s">
        <v>16</v>
      </c>
      <c r="L9" s="471" t="s">
        <v>17</v>
      </c>
      <c r="M9" s="471" t="s">
        <v>18</v>
      </c>
      <c r="N9" s="471" t="s">
        <v>18</v>
      </c>
      <c r="O9" s="471" t="s">
        <v>19</v>
      </c>
      <c r="P9" s="471" t="s">
        <v>14</v>
      </c>
      <c r="Q9" s="472" t="s">
        <v>15</v>
      </c>
      <c r="R9" s="472" t="s">
        <v>16</v>
      </c>
      <c r="S9" s="471" t="s">
        <v>17</v>
      </c>
      <c r="T9" s="471" t="s">
        <v>18</v>
      </c>
      <c r="U9" s="471" t="s">
        <v>18</v>
      </c>
      <c r="V9" s="471" t="s">
        <v>19</v>
      </c>
      <c r="W9" s="471" t="s">
        <v>14</v>
      </c>
      <c r="X9" s="472" t="s">
        <v>15</v>
      </c>
      <c r="Y9" s="472" t="s">
        <v>16</v>
      </c>
      <c r="Z9" s="471" t="s">
        <v>17</v>
      </c>
      <c r="AA9" s="471" t="s">
        <v>18</v>
      </c>
      <c r="AB9" s="471" t="s">
        <v>18</v>
      </c>
      <c r="AC9" s="471" t="s">
        <v>19</v>
      </c>
      <c r="AD9" s="471" t="s">
        <v>14</v>
      </c>
      <c r="AE9" s="472" t="s">
        <v>15</v>
      </c>
      <c r="AF9" s="472" t="s">
        <v>16</v>
      </c>
      <c r="AG9" s="471" t="s">
        <v>17</v>
      </c>
      <c r="AH9" s="471" t="s">
        <v>18</v>
      </c>
      <c r="AI9" s="677" t="s">
        <v>20</v>
      </c>
      <c r="AJ9" s="678"/>
      <c r="AK9" s="678"/>
      <c r="AL9" s="679"/>
      <c r="AM9" s="680" t="s">
        <v>21</v>
      </c>
    </row>
    <row r="10" spans="1:39" ht="28.5" thickBot="1" x14ac:dyDescent="0.3">
      <c r="A10" s="672"/>
      <c r="B10" s="674"/>
      <c r="C10" s="676"/>
      <c r="D10" s="473" t="s">
        <v>22</v>
      </c>
      <c r="E10" s="474">
        <v>1</v>
      </c>
      <c r="F10" s="474">
        <v>2</v>
      </c>
      <c r="G10" s="474">
        <v>3</v>
      </c>
      <c r="H10" s="474">
        <v>4</v>
      </c>
      <c r="I10" s="474">
        <v>5</v>
      </c>
      <c r="J10" s="474">
        <v>6</v>
      </c>
      <c r="K10" s="474">
        <v>7</v>
      </c>
      <c r="L10" s="474">
        <v>8</v>
      </c>
      <c r="M10" s="474">
        <v>9</v>
      </c>
      <c r="N10" s="474">
        <v>10</v>
      </c>
      <c r="O10" s="474">
        <v>11</v>
      </c>
      <c r="P10" s="474">
        <v>12</v>
      </c>
      <c r="Q10" s="474">
        <v>13</v>
      </c>
      <c r="R10" s="474">
        <v>14</v>
      </c>
      <c r="S10" s="474">
        <v>15</v>
      </c>
      <c r="T10" s="474">
        <v>16</v>
      </c>
      <c r="U10" s="474">
        <v>17</v>
      </c>
      <c r="V10" s="474">
        <v>18</v>
      </c>
      <c r="W10" s="474">
        <v>19</v>
      </c>
      <c r="X10" s="474">
        <v>20</v>
      </c>
      <c r="Y10" s="474">
        <v>21</v>
      </c>
      <c r="Z10" s="474">
        <v>22</v>
      </c>
      <c r="AA10" s="474">
        <v>23</v>
      </c>
      <c r="AB10" s="474">
        <v>24</v>
      </c>
      <c r="AC10" s="474">
        <v>25</v>
      </c>
      <c r="AD10" s="474">
        <v>26</v>
      </c>
      <c r="AE10" s="474">
        <v>27</v>
      </c>
      <c r="AF10" s="474">
        <v>28</v>
      </c>
      <c r="AG10" s="474">
        <v>29</v>
      </c>
      <c r="AH10" s="474">
        <v>30</v>
      </c>
      <c r="AI10" s="473" t="s">
        <v>23</v>
      </c>
      <c r="AJ10" s="475" t="s">
        <v>17</v>
      </c>
      <c r="AK10" s="473" t="s">
        <v>142</v>
      </c>
      <c r="AL10" s="476" t="s">
        <v>143</v>
      </c>
      <c r="AM10" s="681"/>
    </row>
    <row r="11" spans="1:39" ht="39.950000000000003" customHeight="1" thickBot="1" x14ac:dyDescent="0.3">
      <c r="A11" s="682" t="s">
        <v>144</v>
      </c>
      <c r="B11" s="683"/>
      <c r="C11" s="683"/>
      <c r="D11" s="683"/>
      <c r="E11" s="683"/>
      <c r="F11" s="683"/>
      <c r="G11" s="683"/>
      <c r="H11" s="683"/>
      <c r="I11" s="683"/>
      <c r="J11" s="683"/>
      <c r="K11" s="683"/>
      <c r="L11" s="683"/>
      <c r="M11" s="683"/>
      <c r="N11" s="683"/>
      <c r="O11" s="683"/>
      <c r="P11" s="683"/>
      <c r="Q11" s="683"/>
      <c r="R11" s="683"/>
      <c r="S11" s="683"/>
      <c r="T11" s="683"/>
      <c r="U11" s="683"/>
      <c r="V11" s="683"/>
      <c r="W11" s="683"/>
      <c r="X11" s="683"/>
      <c r="Y11" s="683"/>
      <c r="Z11" s="683"/>
      <c r="AA11" s="683"/>
      <c r="AB11" s="683"/>
      <c r="AC11" s="683"/>
      <c r="AD11" s="683"/>
      <c r="AE11" s="683"/>
      <c r="AF11" s="683"/>
      <c r="AG11" s="683"/>
      <c r="AH11" s="683"/>
      <c r="AI11" s="683"/>
      <c r="AJ11" s="683"/>
      <c r="AK11" s="683"/>
      <c r="AL11" s="684"/>
      <c r="AM11" s="477"/>
    </row>
    <row r="12" spans="1:39" ht="39.950000000000003" customHeight="1" x14ac:dyDescent="0.4">
      <c r="A12" s="478">
        <v>1</v>
      </c>
      <c r="B12" s="479" t="s">
        <v>145</v>
      </c>
      <c r="C12" s="479" t="s">
        <v>146</v>
      </c>
      <c r="D12" s="480"/>
      <c r="E12" s="577" t="s">
        <v>107</v>
      </c>
      <c r="F12" s="482" t="s">
        <v>23</v>
      </c>
      <c r="G12" s="482" t="s">
        <v>23</v>
      </c>
      <c r="H12" s="482" t="s">
        <v>23</v>
      </c>
      <c r="I12" s="482" t="s">
        <v>23</v>
      </c>
      <c r="J12" s="483" t="s">
        <v>17</v>
      </c>
      <c r="K12" s="483" t="s">
        <v>17</v>
      </c>
      <c r="L12" s="482" t="s">
        <v>23</v>
      </c>
      <c r="M12" s="482" t="s">
        <v>23</v>
      </c>
      <c r="N12" s="482" t="s">
        <v>23</v>
      </c>
      <c r="O12" s="482" t="s">
        <v>23</v>
      </c>
      <c r="P12" s="482" t="s">
        <v>23</v>
      </c>
      <c r="Q12" s="483" t="s">
        <v>17</v>
      </c>
      <c r="R12" s="483" t="s">
        <v>17</v>
      </c>
      <c r="S12" s="482" t="s">
        <v>23</v>
      </c>
      <c r="T12" s="482" t="s">
        <v>23</v>
      </c>
      <c r="U12" s="482" t="s">
        <v>23</v>
      </c>
      <c r="V12" s="482" t="s">
        <v>23</v>
      </c>
      <c r="W12" s="482" t="s">
        <v>23</v>
      </c>
      <c r="X12" s="484" t="s">
        <v>17</v>
      </c>
      <c r="Y12" s="483" t="s">
        <v>17</v>
      </c>
      <c r="Z12" s="482" t="s">
        <v>23</v>
      </c>
      <c r="AA12" s="482" t="s">
        <v>23</v>
      </c>
      <c r="AB12" s="482" t="s">
        <v>23</v>
      </c>
      <c r="AC12" s="482" t="s">
        <v>23</v>
      </c>
      <c r="AD12" s="482" t="s">
        <v>23</v>
      </c>
      <c r="AE12" s="483" t="s">
        <v>17</v>
      </c>
      <c r="AF12" s="483" t="s">
        <v>17</v>
      </c>
      <c r="AG12" s="482" t="s">
        <v>23</v>
      </c>
      <c r="AH12" s="482" t="s">
        <v>23</v>
      </c>
      <c r="AI12" s="485">
        <f>COUNTIF(E12:AH12,"A")</f>
        <v>21</v>
      </c>
      <c r="AJ12" s="485">
        <f>COUNTIF(C12:AF12,"L")</f>
        <v>8</v>
      </c>
      <c r="AK12" s="485">
        <f>SUM(AG12:AI12)</f>
        <v>21</v>
      </c>
      <c r="AL12" s="486" t="s">
        <v>107</v>
      </c>
      <c r="AM12" s="487"/>
    </row>
    <row r="13" spans="1:39" ht="48.75" customHeight="1" x14ac:dyDescent="0.4">
      <c r="A13" s="488">
        <v>2</v>
      </c>
      <c r="B13" s="489" t="s">
        <v>147</v>
      </c>
      <c r="C13" s="489" t="s">
        <v>148</v>
      </c>
      <c r="D13" s="490"/>
      <c r="E13" s="491" t="s">
        <v>23</v>
      </c>
      <c r="F13" s="491" t="s">
        <v>23</v>
      </c>
      <c r="G13" s="491" t="s">
        <v>23</v>
      </c>
      <c r="H13" s="491" t="s">
        <v>23</v>
      </c>
      <c r="I13" s="481" t="s">
        <v>17</v>
      </c>
      <c r="J13" s="501" t="s">
        <v>23</v>
      </c>
      <c r="K13" s="484" t="s">
        <v>17</v>
      </c>
      <c r="L13" s="491" t="s">
        <v>23</v>
      </c>
      <c r="M13" s="491" t="s">
        <v>23</v>
      </c>
      <c r="N13" s="491" t="s">
        <v>23</v>
      </c>
      <c r="O13" s="491" t="s">
        <v>23</v>
      </c>
      <c r="P13" s="491" t="s">
        <v>23</v>
      </c>
      <c r="Q13" s="484" t="s">
        <v>17</v>
      </c>
      <c r="R13" s="484" t="s">
        <v>17</v>
      </c>
      <c r="S13" s="491" t="s">
        <v>23</v>
      </c>
      <c r="T13" s="491" t="s">
        <v>23</v>
      </c>
      <c r="U13" s="491" t="s">
        <v>23</v>
      </c>
      <c r="V13" s="373" t="s">
        <v>107</v>
      </c>
      <c r="W13" s="482" t="s">
        <v>23</v>
      </c>
      <c r="X13" s="484" t="s">
        <v>17</v>
      </c>
      <c r="Y13" s="484" t="s">
        <v>17</v>
      </c>
      <c r="Z13" s="491" t="s">
        <v>23</v>
      </c>
      <c r="AA13" s="491" t="s">
        <v>23</v>
      </c>
      <c r="AB13" s="491" t="s">
        <v>23</v>
      </c>
      <c r="AC13" s="491" t="s">
        <v>23</v>
      </c>
      <c r="AD13" s="491" t="s">
        <v>23</v>
      </c>
      <c r="AE13" s="484" t="s">
        <v>17</v>
      </c>
      <c r="AF13" s="484" t="s">
        <v>17</v>
      </c>
      <c r="AG13" s="493" t="s">
        <v>23</v>
      </c>
      <c r="AH13" s="494" t="s">
        <v>23</v>
      </c>
      <c r="AI13" s="485">
        <f>COUNTIF(E13:AH13,"A")</f>
        <v>21</v>
      </c>
      <c r="AJ13" s="485">
        <f>COUNTIF(C13:AF13,"L")</f>
        <v>8</v>
      </c>
      <c r="AK13" s="485">
        <f>SUM(AG13:AI13)</f>
        <v>21</v>
      </c>
      <c r="AL13" s="495" t="s">
        <v>107</v>
      </c>
      <c r="AM13" s="625" t="s">
        <v>190</v>
      </c>
    </row>
    <row r="14" spans="1:39" ht="39.950000000000003" customHeight="1" x14ac:dyDescent="0.4">
      <c r="A14" s="488"/>
      <c r="B14" s="496"/>
      <c r="C14" s="497" t="s">
        <v>149</v>
      </c>
      <c r="D14" s="490"/>
      <c r="E14" s="498" t="s">
        <v>23</v>
      </c>
      <c r="F14" s="499"/>
      <c r="G14" s="491"/>
      <c r="H14" s="491"/>
      <c r="I14" s="498" t="s">
        <v>23</v>
      </c>
      <c r="J14" s="501"/>
      <c r="K14" s="500"/>
      <c r="L14" s="492"/>
      <c r="M14" s="494"/>
      <c r="N14" s="494"/>
      <c r="O14" s="491"/>
      <c r="P14" s="492"/>
      <c r="Q14" s="498" t="s">
        <v>23</v>
      </c>
      <c r="R14" s="501"/>
      <c r="S14" s="491"/>
      <c r="T14" s="491"/>
      <c r="U14" s="491"/>
      <c r="V14" s="502" t="s">
        <v>23</v>
      </c>
      <c r="W14" s="494"/>
      <c r="X14" s="502" t="s">
        <v>23</v>
      </c>
      <c r="Y14" s="484"/>
      <c r="Z14" s="494"/>
      <c r="AA14" s="491"/>
      <c r="AB14" s="492"/>
      <c r="AC14" s="494"/>
      <c r="AD14" s="492"/>
      <c r="AE14" s="502" t="s">
        <v>23</v>
      </c>
      <c r="AF14" s="500"/>
      <c r="AG14" s="494"/>
      <c r="AH14" s="494"/>
      <c r="AI14" s="490"/>
      <c r="AJ14" s="490"/>
      <c r="AK14" s="490"/>
      <c r="AL14" s="503"/>
      <c r="AM14" s="504"/>
    </row>
    <row r="15" spans="1:39" ht="39.950000000000003" customHeight="1" x14ac:dyDescent="0.4">
      <c r="A15" s="488"/>
      <c r="B15" s="505"/>
      <c r="C15" s="506"/>
      <c r="D15" s="490"/>
      <c r="E15" s="491"/>
      <c r="F15" s="499"/>
      <c r="G15" s="492"/>
      <c r="H15" s="491"/>
      <c r="I15" s="491"/>
      <c r="J15" s="501"/>
      <c r="K15" s="484"/>
      <c r="L15" s="492"/>
      <c r="M15" s="492"/>
      <c r="N15" s="494"/>
      <c r="O15" s="491"/>
      <c r="P15" s="492"/>
      <c r="Q15" s="484"/>
      <c r="R15" s="484"/>
      <c r="S15" s="492"/>
      <c r="T15" s="491"/>
      <c r="U15" s="492"/>
      <c r="V15" s="491"/>
      <c r="W15" s="494"/>
      <c r="X15" s="500"/>
      <c r="Y15" s="484"/>
      <c r="Z15" s="494"/>
      <c r="AA15" s="491"/>
      <c r="AB15" s="492"/>
      <c r="AC15" s="494"/>
      <c r="AD15" s="492"/>
      <c r="AE15" s="500"/>
      <c r="AF15" s="500"/>
      <c r="AG15" s="494"/>
      <c r="AH15" s="494"/>
      <c r="AI15" s="490"/>
      <c r="AJ15" s="490"/>
      <c r="AK15" s="490"/>
      <c r="AL15" s="503"/>
      <c r="AM15" s="504"/>
    </row>
    <row r="16" spans="1:39" ht="39.950000000000003" customHeight="1" x14ac:dyDescent="0.4">
      <c r="A16" s="488"/>
      <c r="B16" s="505"/>
      <c r="C16" s="506"/>
      <c r="D16" s="507"/>
      <c r="E16" s="508"/>
      <c r="F16" s="509"/>
      <c r="G16" s="510"/>
      <c r="H16" s="508"/>
      <c r="I16" s="508"/>
      <c r="J16" s="511"/>
      <c r="K16" s="512"/>
      <c r="L16" s="510"/>
      <c r="M16" s="510"/>
      <c r="N16" s="513"/>
      <c r="O16" s="508"/>
      <c r="P16" s="510"/>
      <c r="Q16" s="512"/>
      <c r="R16" s="512"/>
      <c r="S16" s="510"/>
      <c r="T16" s="508"/>
      <c r="U16" s="510"/>
      <c r="V16" s="513"/>
      <c r="W16" s="513"/>
      <c r="X16" s="514"/>
      <c r="Y16" s="512"/>
      <c r="Z16" s="513"/>
      <c r="AA16" s="508"/>
      <c r="AB16" s="510"/>
      <c r="AC16" s="513"/>
      <c r="AD16" s="510"/>
      <c r="AE16" s="514"/>
      <c r="AF16" s="514"/>
      <c r="AG16" s="513"/>
      <c r="AH16" s="513"/>
      <c r="AI16" s="507"/>
      <c r="AJ16" s="507"/>
      <c r="AK16" s="507"/>
      <c r="AL16" s="503"/>
      <c r="AM16" s="504"/>
    </row>
    <row r="17" spans="1:39" ht="39.950000000000003" customHeight="1" thickBot="1" x14ac:dyDescent="0.45">
      <c r="A17" s="515"/>
      <c r="B17" s="516"/>
      <c r="C17" s="517"/>
      <c r="D17" s="518" t="s">
        <v>150</v>
      </c>
      <c r="E17" s="519">
        <f t="shared" ref="E17:AH17" si="0">COUNTIF(E11:E16,"A")</f>
        <v>2</v>
      </c>
      <c r="F17" s="519">
        <f t="shared" si="0"/>
        <v>2</v>
      </c>
      <c r="G17" s="519">
        <f t="shared" si="0"/>
        <v>2</v>
      </c>
      <c r="H17" s="519">
        <f t="shared" si="0"/>
        <v>2</v>
      </c>
      <c r="I17" s="519">
        <f t="shared" si="0"/>
        <v>2</v>
      </c>
      <c r="J17" s="519">
        <f t="shared" si="0"/>
        <v>1</v>
      </c>
      <c r="K17" s="519">
        <f t="shared" si="0"/>
        <v>0</v>
      </c>
      <c r="L17" s="519">
        <f t="shared" si="0"/>
        <v>2</v>
      </c>
      <c r="M17" s="519">
        <f t="shared" si="0"/>
        <v>2</v>
      </c>
      <c r="N17" s="519">
        <f t="shared" si="0"/>
        <v>2</v>
      </c>
      <c r="O17" s="519">
        <f t="shared" si="0"/>
        <v>2</v>
      </c>
      <c r="P17" s="519">
        <f t="shared" si="0"/>
        <v>2</v>
      </c>
      <c r="Q17" s="519">
        <f t="shared" si="0"/>
        <v>1</v>
      </c>
      <c r="R17" s="519">
        <f t="shared" si="0"/>
        <v>0</v>
      </c>
      <c r="S17" s="519">
        <f t="shared" si="0"/>
        <v>2</v>
      </c>
      <c r="T17" s="519">
        <f t="shared" si="0"/>
        <v>2</v>
      </c>
      <c r="U17" s="519">
        <f t="shared" si="0"/>
        <v>2</v>
      </c>
      <c r="V17" s="519">
        <f t="shared" si="0"/>
        <v>2</v>
      </c>
      <c r="W17" s="519">
        <f t="shared" si="0"/>
        <v>2</v>
      </c>
      <c r="X17" s="519">
        <f t="shared" si="0"/>
        <v>1</v>
      </c>
      <c r="Y17" s="519">
        <f t="shared" si="0"/>
        <v>0</v>
      </c>
      <c r="Z17" s="519">
        <f t="shared" si="0"/>
        <v>2</v>
      </c>
      <c r="AA17" s="519">
        <f t="shared" si="0"/>
        <v>2</v>
      </c>
      <c r="AB17" s="519">
        <f t="shared" si="0"/>
        <v>2</v>
      </c>
      <c r="AC17" s="519">
        <f t="shared" si="0"/>
        <v>2</v>
      </c>
      <c r="AD17" s="519">
        <f t="shared" si="0"/>
        <v>2</v>
      </c>
      <c r="AE17" s="519">
        <f t="shared" si="0"/>
        <v>1</v>
      </c>
      <c r="AF17" s="519">
        <f t="shared" si="0"/>
        <v>0</v>
      </c>
      <c r="AG17" s="519">
        <f t="shared" si="0"/>
        <v>2</v>
      </c>
      <c r="AH17" s="519">
        <f t="shared" si="0"/>
        <v>2</v>
      </c>
      <c r="AI17" s="520"/>
      <c r="AJ17" s="520"/>
      <c r="AK17" s="520"/>
      <c r="AL17" s="520"/>
      <c r="AM17" s="521"/>
    </row>
    <row r="18" spans="1:39" ht="39.950000000000003" customHeight="1" thickBot="1" x14ac:dyDescent="0.45">
      <c r="A18" s="666" t="s">
        <v>70</v>
      </c>
      <c r="B18" s="667"/>
      <c r="C18" s="667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7"/>
      <c r="O18" s="667"/>
      <c r="P18" s="667"/>
      <c r="Q18" s="667"/>
      <c r="R18" s="667"/>
      <c r="S18" s="667"/>
      <c r="T18" s="667"/>
      <c r="U18" s="667"/>
      <c r="V18" s="667"/>
      <c r="W18" s="667"/>
      <c r="X18" s="667"/>
      <c r="Y18" s="667"/>
      <c r="Z18" s="667"/>
      <c r="AA18" s="667"/>
      <c r="AB18" s="667"/>
      <c r="AC18" s="667"/>
      <c r="AD18" s="667"/>
      <c r="AE18" s="667"/>
      <c r="AF18" s="667"/>
      <c r="AG18" s="667"/>
      <c r="AH18" s="667"/>
      <c r="AI18" s="667"/>
      <c r="AJ18" s="667"/>
      <c r="AK18" s="667"/>
      <c r="AL18" s="668"/>
      <c r="AM18" s="522"/>
    </row>
    <row r="19" spans="1:39" ht="39.950000000000003" customHeight="1" x14ac:dyDescent="0.4">
      <c r="A19" s="478">
        <v>1</v>
      </c>
      <c r="B19" s="523">
        <v>100422</v>
      </c>
      <c r="C19" s="524" t="s">
        <v>151</v>
      </c>
      <c r="D19" s="525"/>
      <c r="E19" s="491" t="s">
        <v>23</v>
      </c>
      <c r="F19" s="482" t="s">
        <v>23</v>
      </c>
      <c r="G19" s="482" t="s">
        <v>23</v>
      </c>
      <c r="H19" s="481" t="s">
        <v>17</v>
      </c>
      <c r="I19" s="482" t="s">
        <v>23</v>
      </c>
      <c r="J19" s="483" t="s">
        <v>17</v>
      </c>
      <c r="K19" s="483" t="s">
        <v>17</v>
      </c>
      <c r="L19" s="493" t="s">
        <v>23</v>
      </c>
      <c r="M19" s="482" t="s">
        <v>23</v>
      </c>
      <c r="N19" s="373" t="s">
        <v>107</v>
      </c>
      <c r="O19" s="482" t="s">
        <v>23</v>
      </c>
      <c r="P19" s="482" t="s">
        <v>23</v>
      </c>
      <c r="Q19" s="526" t="s">
        <v>23</v>
      </c>
      <c r="R19" s="483" t="s">
        <v>17</v>
      </c>
      <c r="S19" s="493" t="s">
        <v>23</v>
      </c>
      <c r="T19" s="482" t="s">
        <v>23</v>
      </c>
      <c r="U19" s="493" t="s">
        <v>23</v>
      </c>
      <c r="V19" s="493" t="s">
        <v>23</v>
      </c>
      <c r="W19" s="482" t="s">
        <v>23</v>
      </c>
      <c r="X19" s="483" t="s">
        <v>17</v>
      </c>
      <c r="Y19" s="483" t="s">
        <v>17</v>
      </c>
      <c r="Z19" s="493" t="s">
        <v>23</v>
      </c>
      <c r="AA19" s="482" t="s">
        <v>23</v>
      </c>
      <c r="AB19" s="492" t="s">
        <v>17</v>
      </c>
      <c r="AC19" s="482" t="s">
        <v>23</v>
      </c>
      <c r="AD19" s="482" t="s">
        <v>23</v>
      </c>
      <c r="AE19" s="500" t="s">
        <v>23</v>
      </c>
      <c r="AF19" s="483" t="s">
        <v>17</v>
      </c>
      <c r="AG19" s="482" t="s">
        <v>23</v>
      </c>
      <c r="AH19" s="482" t="s">
        <v>23</v>
      </c>
      <c r="AI19" s="527">
        <f>COUNTIF(E19:AH19,"A")</f>
        <v>21</v>
      </c>
      <c r="AJ19" s="485">
        <f>COUNTIF(C19:AF19,"L")</f>
        <v>8</v>
      </c>
      <c r="AK19" s="485">
        <f>SUM(AG19:AI19)</f>
        <v>21</v>
      </c>
      <c r="AL19" s="486" t="s">
        <v>107</v>
      </c>
      <c r="AM19" s="528" t="s">
        <v>161</v>
      </c>
    </row>
    <row r="20" spans="1:39" ht="39.950000000000003" customHeight="1" x14ac:dyDescent="0.4">
      <c r="A20" s="488">
        <v>2</v>
      </c>
      <c r="B20" s="529">
        <v>100131</v>
      </c>
      <c r="C20" s="530" t="s">
        <v>152</v>
      </c>
      <c r="D20" s="531"/>
      <c r="E20" s="492" t="s">
        <v>17</v>
      </c>
      <c r="F20" s="373" t="s">
        <v>107</v>
      </c>
      <c r="G20" s="491" t="s">
        <v>23</v>
      </c>
      <c r="H20" s="482" t="s">
        <v>23</v>
      </c>
      <c r="I20" s="491" t="s">
        <v>23</v>
      </c>
      <c r="J20" s="526" t="s">
        <v>23</v>
      </c>
      <c r="K20" s="484" t="s">
        <v>17</v>
      </c>
      <c r="L20" s="491" t="s">
        <v>23</v>
      </c>
      <c r="M20" s="491" t="s">
        <v>23</v>
      </c>
      <c r="N20" s="482" t="s">
        <v>23</v>
      </c>
      <c r="O20" s="491" t="s">
        <v>23</v>
      </c>
      <c r="P20" s="491" t="s">
        <v>23</v>
      </c>
      <c r="Q20" s="483" t="s">
        <v>17</v>
      </c>
      <c r="R20" s="484" t="s">
        <v>17</v>
      </c>
      <c r="S20" s="494" t="s">
        <v>23</v>
      </c>
      <c r="T20" s="491" t="s">
        <v>23</v>
      </c>
      <c r="U20" s="481" t="s">
        <v>17</v>
      </c>
      <c r="V20" s="491" t="s">
        <v>23</v>
      </c>
      <c r="W20" s="491" t="s">
        <v>23</v>
      </c>
      <c r="X20" s="500" t="s">
        <v>23</v>
      </c>
      <c r="Y20" s="484" t="s">
        <v>17</v>
      </c>
      <c r="Z20" s="494" t="s">
        <v>23</v>
      </c>
      <c r="AA20" s="491" t="s">
        <v>23</v>
      </c>
      <c r="AB20" s="482" t="s">
        <v>23</v>
      </c>
      <c r="AC20" s="494" t="s">
        <v>23</v>
      </c>
      <c r="AD20" s="491" t="s">
        <v>23</v>
      </c>
      <c r="AE20" s="484" t="s">
        <v>17</v>
      </c>
      <c r="AF20" s="484" t="s">
        <v>17</v>
      </c>
      <c r="AG20" s="494" t="s">
        <v>23</v>
      </c>
      <c r="AH20" s="491" t="s">
        <v>23</v>
      </c>
      <c r="AI20" s="527">
        <f>COUNTIF(E20:AH20,"A")</f>
        <v>21</v>
      </c>
      <c r="AJ20" s="485">
        <f>COUNTIF(C20:AF20,"L")</f>
        <v>8</v>
      </c>
      <c r="AK20" s="485">
        <f>SUM(AG20:AI20)</f>
        <v>21</v>
      </c>
      <c r="AL20" s="486" t="s">
        <v>107</v>
      </c>
      <c r="AM20" s="504" t="s">
        <v>162</v>
      </c>
    </row>
    <row r="21" spans="1:39" ht="39.950000000000003" customHeight="1" x14ac:dyDescent="0.4">
      <c r="A21" s="488">
        <v>3</v>
      </c>
      <c r="B21" s="532" t="s">
        <v>74</v>
      </c>
      <c r="C21" s="533" t="s">
        <v>153</v>
      </c>
      <c r="D21" s="531"/>
      <c r="E21" s="482" t="s">
        <v>23</v>
      </c>
      <c r="F21" s="482" t="s">
        <v>23</v>
      </c>
      <c r="G21" s="482" t="s">
        <v>23</v>
      </c>
      <c r="H21" s="482" t="s">
        <v>23</v>
      </c>
      <c r="I21" s="482" t="s">
        <v>23</v>
      </c>
      <c r="J21" s="483" t="s">
        <v>17</v>
      </c>
      <c r="K21" s="483" t="s">
        <v>17</v>
      </c>
      <c r="L21" s="482" t="s">
        <v>23</v>
      </c>
      <c r="M21" s="482" t="s">
        <v>23</v>
      </c>
      <c r="N21" s="482" t="s">
        <v>23</v>
      </c>
      <c r="O21" s="482" t="s">
        <v>23</v>
      </c>
      <c r="P21" s="482" t="s">
        <v>23</v>
      </c>
      <c r="Q21" s="483" t="s">
        <v>17</v>
      </c>
      <c r="R21" s="483" t="s">
        <v>17</v>
      </c>
      <c r="S21" s="482" t="s">
        <v>23</v>
      </c>
      <c r="T21" s="482" t="s">
        <v>23</v>
      </c>
      <c r="U21" s="482" t="s">
        <v>23</v>
      </c>
      <c r="V21" s="482" t="s">
        <v>23</v>
      </c>
      <c r="W21" s="482" t="s">
        <v>23</v>
      </c>
      <c r="X21" s="484" t="s">
        <v>17</v>
      </c>
      <c r="Y21" s="483" t="s">
        <v>17</v>
      </c>
      <c r="Z21" s="482" t="s">
        <v>23</v>
      </c>
      <c r="AA21" s="482" t="s">
        <v>23</v>
      </c>
      <c r="AB21" s="482" t="s">
        <v>23</v>
      </c>
      <c r="AC21" s="481" t="s">
        <v>17</v>
      </c>
      <c r="AD21" s="482" t="s">
        <v>23</v>
      </c>
      <c r="AE21" s="534" t="s">
        <v>23</v>
      </c>
      <c r="AF21" s="483" t="s">
        <v>17</v>
      </c>
      <c r="AG21" s="482" t="s">
        <v>23</v>
      </c>
      <c r="AH21" s="482" t="s">
        <v>23</v>
      </c>
      <c r="AI21" s="527">
        <f>COUNTIF(E21:AH21,"A")</f>
        <v>22</v>
      </c>
      <c r="AJ21" s="485">
        <f>COUNTIF(C21:AF21,"L")</f>
        <v>8</v>
      </c>
      <c r="AK21" s="485">
        <f>SUM(AG21:AI21)</f>
        <v>22</v>
      </c>
      <c r="AL21" s="503"/>
      <c r="AM21" s="504" t="s">
        <v>154</v>
      </c>
    </row>
    <row r="22" spans="1:39" ht="39.950000000000003" customHeight="1" x14ac:dyDescent="0.4">
      <c r="A22" s="488"/>
      <c r="B22" s="505"/>
      <c r="C22" s="497" t="s">
        <v>149</v>
      </c>
      <c r="D22" s="531"/>
      <c r="E22" s="498" t="s">
        <v>23</v>
      </c>
      <c r="F22" s="498" t="s">
        <v>23</v>
      </c>
      <c r="G22" s="491"/>
      <c r="H22" s="498" t="s">
        <v>23</v>
      </c>
      <c r="I22" s="491"/>
      <c r="J22" s="498" t="s">
        <v>23</v>
      </c>
      <c r="K22" s="501"/>
      <c r="L22" s="491"/>
      <c r="M22" s="491"/>
      <c r="N22" s="498" t="s">
        <v>23</v>
      </c>
      <c r="O22" s="491"/>
      <c r="P22" s="491"/>
      <c r="Q22" s="498" t="s">
        <v>23</v>
      </c>
      <c r="R22" s="501"/>
      <c r="S22" s="491"/>
      <c r="T22" s="491"/>
      <c r="U22" s="498" t="s">
        <v>23</v>
      </c>
      <c r="V22" s="491"/>
      <c r="W22" s="491"/>
      <c r="X22" s="498" t="s">
        <v>23</v>
      </c>
      <c r="Y22" s="501"/>
      <c r="Z22" s="491"/>
      <c r="AA22" s="491"/>
      <c r="AB22" s="491"/>
      <c r="AC22" s="498" t="s">
        <v>23</v>
      </c>
      <c r="AD22" s="491"/>
      <c r="AE22" s="535"/>
      <c r="AF22" s="501"/>
      <c r="AG22" s="494"/>
      <c r="AH22" s="494"/>
      <c r="AI22" s="531"/>
      <c r="AJ22" s="531"/>
      <c r="AK22" s="531"/>
      <c r="AL22" s="536"/>
      <c r="AM22" s="537"/>
    </row>
    <row r="23" spans="1:39" ht="39.950000000000003" customHeight="1" x14ac:dyDescent="0.35">
      <c r="A23" s="538"/>
      <c r="B23" s="505"/>
      <c r="C23" s="505"/>
      <c r="D23" s="531"/>
      <c r="E23" s="539"/>
      <c r="F23" s="540"/>
      <c r="G23" s="541"/>
      <c r="H23" s="541"/>
      <c r="I23" s="541"/>
      <c r="J23" s="542"/>
      <c r="K23" s="543"/>
      <c r="L23" s="541"/>
      <c r="M23" s="541"/>
      <c r="N23" s="541"/>
      <c r="O23" s="541"/>
      <c r="P23" s="540"/>
      <c r="Q23" s="543"/>
      <c r="R23" s="543"/>
      <c r="S23" s="541"/>
      <c r="T23" s="541"/>
      <c r="U23" s="541"/>
      <c r="V23" s="541"/>
      <c r="W23" s="541"/>
      <c r="X23" s="542"/>
      <c r="Y23" s="543"/>
      <c r="Z23" s="541"/>
      <c r="AA23" s="541"/>
      <c r="AB23" s="541"/>
      <c r="AC23" s="541"/>
      <c r="AD23" s="541"/>
      <c r="AE23" s="542"/>
      <c r="AF23" s="543"/>
      <c r="AG23" s="541"/>
      <c r="AH23" s="541"/>
      <c r="AI23" s="531"/>
      <c r="AJ23" s="531"/>
      <c r="AK23" s="531"/>
      <c r="AL23" s="536"/>
      <c r="AM23" s="537"/>
    </row>
    <row r="24" spans="1:39" ht="39.950000000000003" customHeight="1" x14ac:dyDescent="0.35">
      <c r="A24" s="538"/>
      <c r="B24" s="505"/>
      <c r="C24" s="505"/>
      <c r="D24" s="531"/>
      <c r="E24" s="539"/>
      <c r="F24" s="541"/>
      <c r="G24" s="541"/>
      <c r="H24" s="541"/>
      <c r="I24" s="541"/>
      <c r="J24" s="542"/>
      <c r="K24" s="543"/>
      <c r="L24" s="541"/>
      <c r="M24" s="541"/>
      <c r="N24" s="541"/>
      <c r="O24" s="541"/>
      <c r="P24" s="540"/>
      <c r="Q24" s="543"/>
      <c r="R24" s="543"/>
      <c r="S24" s="541"/>
      <c r="T24" s="541"/>
      <c r="U24" s="541"/>
      <c r="V24" s="541"/>
      <c r="W24" s="541"/>
      <c r="X24" s="542"/>
      <c r="Y24" s="543"/>
      <c r="Z24" s="541"/>
      <c r="AA24" s="541"/>
      <c r="AB24" s="541"/>
      <c r="AC24" s="541"/>
      <c r="AD24" s="541"/>
      <c r="AE24" s="542"/>
      <c r="AF24" s="543"/>
      <c r="AG24" s="541"/>
      <c r="AH24" s="541"/>
      <c r="AI24" s="531"/>
      <c r="AJ24" s="531"/>
      <c r="AK24" s="531"/>
      <c r="AL24" s="536"/>
      <c r="AM24" s="537"/>
    </row>
    <row r="25" spans="1:39" ht="48" customHeight="1" x14ac:dyDescent="0.35">
      <c r="A25" s="538"/>
      <c r="B25" s="544"/>
      <c r="C25" s="545"/>
      <c r="D25" s="545" t="s">
        <v>150</v>
      </c>
      <c r="E25" s="546">
        <f t="shared" ref="E25:AH25" si="1">COUNTIF(E19:E24,"A")</f>
        <v>3</v>
      </c>
      <c r="F25" s="546">
        <f t="shared" si="1"/>
        <v>3</v>
      </c>
      <c r="G25" s="546">
        <f t="shared" si="1"/>
        <v>3</v>
      </c>
      <c r="H25" s="546">
        <f t="shared" si="1"/>
        <v>3</v>
      </c>
      <c r="I25" s="546">
        <f t="shared" si="1"/>
        <v>3</v>
      </c>
      <c r="J25" s="546">
        <f>COUNTIF(J20:J24,"A")</f>
        <v>2</v>
      </c>
      <c r="K25" s="546">
        <f>COUNTIF(K19:K24,"A")</f>
        <v>0</v>
      </c>
      <c r="L25" s="546">
        <f t="shared" si="1"/>
        <v>3</v>
      </c>
      <c r="M25" s="546">
        <f t="shared" si="1"/>
        <v>3</v>
      </c>
      <c r="N25" s="546">
        <f>COUNTIF(N19:N24,"A")</f>
        <v>3</v>
      </c>
      <c r="O25" s="546">
        <f t="shared" si="1"/>
        <v>3</v>
      </c>
      <c r="P25" s="546">
        <f t="shared" si="1"/>
        <v>3</v>
      </c>
      <c r="Q25" s="546">
        <f t="shared" si="1"/>
        <v>2</v>
      </c>
      <c r="R25" s="546">
        <f t="shared" si="1"/>
        <v>0</v>
      </c>
      <c r="S25" s="546">
        <f>COUNTIF(S19:S24,"A")</f>
        <v>3</v>
      </c>
      <c r="T25" s="546">
        <f t="shared" si="1"/>
        <v>3</v>
      </c>
      <c r="U25" s="546">
        <f>COUNTIF(U19:U24,"A")</f>
        <v>3</v>
      </c>
      <c r="V25" s="546">
        <f>COUNTIF(V19:V24,"A")</f>
        <v>3</v>
      </c>
      <c r="W25" s="546">
        <f t="shared" si="1"/>
        <v>3</v>
      </c>
      <c r="X25" s="546">
        <f t="shared" si="1"/>
        <v>2</v>
      </c>
      <c r="Y25" s="546">
        <f>COUNTIF(Y19:Y24,"A")</f>
        <v>0</v>
      </c>
      <c r="Z25" s="546">
        <f t="shared" si="1"/>
        <v>3</v>
      </c>
      <c r="AA25" s="546">
        <f>COUNTIF(AA19:AA24,"A")</f>
        <v>3</v>
      </c>
      <c r="AB25" s="546">
        <f>COUNTIF(AB19:AB24,"A")</f>
        <v>2</v>
      </c>
      <c r="AC25" s="546">
        <f t="shared" si="1"/>
        <v>3</v>
      </c>
      <c r="AD25" s="546">
        <f t="shared" si="1"/>
        <v>3</v>
      </c>
      <c r="AE25" s="546">
        <f>COUNTIF(AE19:AE24,"A")</f>
        <v>2</v>
      </c>
      <c r="AF25" s="546">
        <f t="shared" si="1"/>
        <v>0</v>
      </c>
      <c r="AG25" s="546">
        <f t="shared" si="1"/>
        <v>3</v>
      </c>
      <c r="AH25" s="546">
        <f t="shared" si="1"/>
        <v>3</v>
      </c>
      <c r="AI25" s="531"/>
      <c r="AJ25" s="531"/>
      <c r="AK25" s="531"/>
      <c r="AL25" s="547"/>
      <c r="AM25" s="548"/>
    </row>
    <row r="26" spans="1:39" ht="33.75" x14ac:dyDescent="0.4">
      <c r="A26" s="549"/>
      <c r="B26" s="550"/>
      <c r="C26" s="55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1"/>
      <c r="O26" s="551"/>
      <c r="P26" s="551"/>
      <c r="Q26" s="551"/>
      <c r="R26" s="551"/>
      <c r="S26" s="551"/>
      <c r="T26" s="551"/>
      <c r="U26" s="551"/>
      <c r="V26" s="551"/>
      <c r="W26" s="551"/>
      <c r="X26" s="551"/>
      <c r="Y26" s="551"/>
      <c r="Z26" s="551"/>
      <c r="AA26" s="551"/>
      <c r="AB26" s="551"/>
      <c r="AC26" s="551"/>
      <c r="AD26" s="551"/>
      <c r="AE26" s="551"/>
      <c r="AF26" s="551"/>
      <c r="AG26" s="552"/>
      <c r="AH26" s="553"/>
      <c r="AI26" s="554"/>
      <c r="AJ26" s="554"/>
      <c r="AK26" s="554"/>
      <c r="AL26" s="554"/>
      <c r="AM26" s="555"/>
    </row>
    <row r="27" spans="1:39" ht="33.75" x14ac:dyDescent="0.5">
      <c r="A27" s="556"/>
      <c r="B27" s="557" t="s">
        <v>149</v>
      </c>
      <c r="C27" s="558"/>
      <c r="D27" s="559"/>
      <c r="E27" s="559"/>
      <c r="F27" s="559"/>
      <c r="G27" s="560" t="s">
        <v>155</v>
      </c>
      <c r="H27" s="559"/>
      <c r="I27" s="559"/>
      <c r="J27" s="559"/>
      <c r="K27" s="559"/>
      <c r="L27" s="559"/>
      <c r="M27" s="559"/>
      <c r="N27" s="559"/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/>
      <c r="AA27" s="559"/>
      <c r="AB27" s="559"/>
      <c r="AC27" s="559"/>
      <c r="AD27" s="559"/>
      <c r="AE27" s="559"/>
      <c r="AF27" s="559"/>
      <c r="AG27" s="559"/>
      <c r="AH27" s="559"/>
      <c r="AI27" s="561"/>
      <c r="AJ27" s="561"/>
      <c r="AK27" s="561"/>
      <c r="AL27" s="561"/>
      <c r="AM27" s="555"/>
    </row>
    <row r="28" spans="1:39" ht="33.75" x14ac:dyDescent="0.5">
      <c r="A28" s="556"/>
      <c r="B28" s="562"/>
      <c r="C28" s="563"/>
      <c r="D28" s="559"/>
      <c r="E28" s="559"/>
      <c r="F28" s="559"/>
      <c r="G28" s="560" t="s">
        <v>156</v>
      </c>
      <c r="H28" s="564"/>
      <c r="I28" s="564"/>
      <c r="J28" s="559"/>
      <c r="K28" s="559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59"/>
      <c r="W28" s="559"/>
      <c r="X28" s="559"/>
      <c r="Y28" s="559"/>
      <c r="Z28" s="559"/>
      <c r="AA28" s="559"/>
      <c r="AB28" s="559"/>
      <c r="AC28" s="559"/>
      <c r="AD28" s="559"/>
      <c r="AE28" s="559"/>
      <c r="AF28" s="559"/>
      <c r="AG28" s="559"/>
      <c r="AH28" s="559"/>
      <c r="AI28" s="561"/>
      <c r="AJ28" s="561"/>
      <c r="AK28" s="561"/>
      <c r="AL28" s="561"/>
      <c r="AM28" s="555"/>
    </row>
    <row r="29" spans="1:39" ht="33.75" x14ac:dyDescent="0.5">
      <c r="A29" s="556"/>
      <c r="B29" s="565"/>
      <c r="C29" s="564"/>
      <c r="D29" s="564"/>
      <c r="E29" s="559"/>
      <c r="F29" s="559"/>
      <c r="G29" s="560" t="s">
        <v>157</v>
      </c>
      <c r="H29" s="564"/>
      <c r="I29" s="564"/>
      <c r="J29" s="566"/>
      <c r="K29" s="566"/>
      <c r="L29" s="566"/>
      <c r="M29" s="566"/>
      <c r="N29" s="566"/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/>
      <c r="AA29" s="559"/>
      <c r="AB29" s="559"/>
      <c r="AC29" s="559"/>
      <c r="AD29" s="559"/>
      <c r="AE29" s="559"/>
      <c r="AF29" s="559"/>
      <c r="AG29" s="559"/>
      <c r="AH29" s="559"/>
      <c r="AI29" s="561"/>
      <c r="AJ29" s="561"/>
      <c r="AK29" s="561"/>
      <c r="AL29" s="561"/>
      <c r="AM29" s="555"/>
    </row>
    <row r="30" spans="1:39" ht="33.75" x14ac:dyDescent="0.5">
      <c r="A30" s="556"/>
      <c r="B30" s="560"/>
      <c r="C30" s="564"/>
      <c r="D30" s="564"/>
      <c r="E30" s="559"/>
      <c r="F30" s="559"/>
      <c r="G30" s="564"/>
      <c r="H30" s="564"/>
      <c r="I30" s="564"/>
      <c r="J30" s="564"/>
      <c r="K30" s="564"/>
      <c r="L30" s="564"/>
      <c r="M30" s="564"/>
      <c r="N30" s="564"/>
      <c r="O30" s="564"/>
      <c r="P30" s="559"/>
      <c r="Q30" s="559"/>
      <c r="R30" s="559"/>
      <c r="S30" s="559"/>
      <c r="T30" s="559"/>
      <c r="U30" s="559"/>
      <c r="V30" s="559"/>
      <c r="W30" s="559"/>
      <c r="X30" s="559"/>
      <c r="Y30" s="559"/>
      <c r="Z30" s="559"/>
      <c r="AA30" s="559"/>
      <c r="AB30" s="559"/>
      <c r="AC30" s="559"/>
      <c r="AD30" s="559"/>
      <c r="AE30" s="559"/>
      <c r="AF30" s="559"/>
      <c r="AG30" s="559"/>
      <c r="AH30" s="559"/>
      <c r="AI30" s="561"/>
      <c r="AJ30" s="561"/>
      <c r="AK30" s="561"/>
      <c r="AL30" s="561"/>
      <c r="AM30" s="555"/>
    </row>
    <row r="31" spans="1:39" ht="33.75" x14ac:dyDescent="0.5">
      <c r="A31" s="556"/>
      <c r="B31" s="560"/>
      <c r="C31" s="564"/>
      <c r="D31" s="564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59"/>
      <c r="P31" s="559"/>
      <c r="Q31" s="559"/>
      <c r="R31" s="559"/>
      <c r="S31" s="559"/>
      <c r="T31" s="559"/>
      <c r="U31" s="559"/>
      <c r="V31" s="559"/>
      <c r="W31" s="559"/>
      <c r="X31" s="559"/>
      <c r="Y31" s="559"/>
      <c r="Z31" s="559"/>
      <c r="AA31" s="559"/>
      <c r="AB31" s="559"/>
      <c r="AC31" s="559"/>
      <c r="AD31" s="559"/>
      <c r="AE31" s="559"/>
      <c r="AF31" s="559"/>
      <c r="AG31" s="559"/>
      <c r="AH31" s="559"/>
      <c r="AI31" s="561"/>
      <c r="AJ31" s="561"/>
      <c r="AK31" s="561"/>
      <c r="AL31" s="561"/>
      <c r="AM31" s="555"/>
    </row>
    <row r="32" spans="1:39" ht="33.75" x14ac:dyDescent="0.5">
      <c r="A32" s="556"/>
      <c r="B32" s="560"/>
      <c r="C32" s="564"/>
      <c r="D32" s="564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559"/>
      <c r="V32" s="559"/>
      <c r="W32" s="559"/>
      <c r="X32" s="559"/>
      <c r="Y32" s="559"/>
      <c r="Z32" s="559"/>
      <c r="AA32" s="559"/>
      <c r="AB32" s="559"/>
      <c r="AC32" s="559"/>
      <c r="AD32" s="559"/>
      <c r="AE32" s="559"/>
      <c r="AF32" s="559"/>
      <c r="AG32" s="559"/>
      <c r="AH32" s="559"/>
      <c r="AI32" s="561"/>
      <c r="AJ32" s="561"/>
      <c r="AK32" s="561"/>
      <c r="AL32" s="561"/>
      <c r="AM32" s="555"/>
    </row>
    <row r="33" spans="1:39" ht="33.75" x14ac:dyDescent="0.5">
      <c r="A33" s="556"/>
      <c r="B33" s="560"/>
      <c r="C33" s="564"/>
      <c r="D33" s="564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59"/>
      <c r="AB33" s="559"/>
      <c r="AC33" s="559"/>
      <c r="AD33" s="559"/>
      <c r="AE33" s="559"/>
      <c r="AF33" s="559"/>
      <c r="AG33" s="559"/>
      <c r="AH33" s="559"/>
      <c r="AI33" s="561"/>
      <c r="AJ33" s="561"/>
      <c r="AK33" s="561"/>
      <c r="AL33" s="561"/>
      <c r="AM33" s="555"/>
    </row>
    <row r="34" spans="1:39" ht="33.75" x14ac:dyDescent="0.5">
      <c r="A34" s="556"/>
      <c r="B34" s="560"/>
      <c r="C34" s="564"/>
      <c r="D34" s="564"/>
      <c r="E34" s="559"/>
      <c r="F34" s="559" t="s">
        <v>158</v>
      </c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59"/>
      <c r="AB34" s="559"/>
      <c r="AC34" s="559"/>
      <c r="AD34" s="559"/>
      <c r="AE34" s="559"/>
      <c r="AF34" s="559"/>
      <c r="AG34" s="559"/>
      <c r="AH34" s="559"/>
      <c r="AI34" s="561"/>
      <c r="AJ34" s="561"/>
      <c r="AK34" s="561"/>
      <c r="AL34" s="561"/>
      <c r="AM34" s="555"/>
    </row>
    <row r="35" spans="1:39" ht="33.75" x14ac:dyDescent="0.5">
      <c r="A35" s="556"/>
      <c r="B35" s="560"/>
      <c r="C35" s="564"/>
      <c r="D35" s="564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/>
      <c r="AA35" s="559"/>
      <c r="AB35" s="559"/>
      <c r="AC35" s="559"/>
      <c r="AD35" s="559"/>
      <c r="AE35" s="559"/>
      <c r="AF35" s="559"/>
      <c r="AG35" s="559"/>
      <c r="AH35" s="559"/>
      <c r="AI35" s="561"/>
      <c r="AJ35" s="561"/>
      <c r="AK35" s="561"/>
      <c r="AL35" s="561"/>
      <c r="AM35" s="555"/>
    </row>
    <row r="36" spans="1:39" ht="33.75" x14ac:dyDescent="0.5">
      <c r="A36" s="556"/>
      <c r="B36" s="560"/>
      <c r="C36" s="564"/>
      <c r="D36" s="564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59"/>
      <c r="P36" s="559"/>
      <c r="Q36" s="559"/>
      <c r="R36" s="559"/>
      <c r="S36" s="559"/>
      <c r="T36" s="559"/>
      <c r="U36" s="559"/>
      <c r="V36" s="559"/>
      <c r="W36" s="559"/>
      <c r="X36" s="559"/>
      <c r="Y36" s="559"/>
      <c r="Z36" s="559"/>
      <c r="AA36" s="559"/>
      <c r="AB36" s="559"/>
      <c r="AC36" s="559"/>
      <c r="AD36" s="559"/>
      <c r="AE36" s="559"/>
      <c r="AF36" s="559"/>
      <c r="AG36" s="559"/>
      <c r="AH36" s="559"/>
      <c r="AI36" s="561"/>
      <c r="AJ36" s="561"/>
      <c r="AK36" s="561"/>
      <c r="AL36" s="561"/>
      <c r="AM36" s="555"/>
    </row>
    <row r="37" spans="1:39" ht="33.75" x14ac:dyDescent="0.5">
      <c r="A37" s="556"/>
      <c r="B37" s="560"/>
      <c r="C37" s="564"/>
      <c r="D37" s="564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559"/>
      <c r="AB37" s="559"/>
      <c r="AC37" s="559"/>
      <c r="AD37" s="559"/>
      <c r="AE37" s="559"/>
      <c r="AF37" s="559"/>
      <c r="AG37" s="559"/>
      <c r="AH37" s="559"/>
      <c r="AI37" s="561"/>
      <c r="AJ37" s="561"/>
      <c r="AK37" s="561"/>
      <c r="AL37" s="561"/>
      <c r="AM37" s="555"/>
    </row>
    <row r="38" spans="1:39" ht="33.75" x14ac:dyDescent="0.5">
      <c r="A38" s="556"/>
      <c r="B38" s="567" t="s">
        <v>159</v>
      </c>
      <c r="C38" s="559"/>
      <c r="D38" s="559"/>
      <c r="E38" s="559"/>
      <c r="F38" s="559"/>
      <c r="G38" s="568"/>
      <c r="H38" s="559"/>
      <c r="I38" s="559"/>
      <c r="J38" s="568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59"/>
      <c r="AB38" s="559"/>
      <c r="AC38" s="559"/>
      <c r="AD38" s="559"/>
      <c r="AE38" s="559"/>
      <c r="AF38" s="559"/>
      <c r="AG38" s="559"/>
      <c r="AH38" s="559"/>
      <c r="AI38" s="561"/>
      <c r="AJ38" s="561"/>
      <c r="AK38" s="561"/>
      <c r="AL38" s="561"/>
      <c r="AM38" s="555"/>
    </row>
    <row r="39" spans="1:39" ht="33.75" x14ac:dyDescent="0.5">
      <c r="A39" s="569"/>
      <c r="B39" s="669" t="s">
        <v>160</v>
      </c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  <c r="AB39" s="669"/>
      <c r="AC39" s="669"/>
      <c r="AD39" s="669"/>
      <c r="AE39" s="669"/>
      <c r="AF39" s="669"/>
      <c r="AG39" s="669"/>
      <c r="AH39" s="669"/>
      <c r="AI39" s="669"/>
      <c r="AJ39" s="669"/>
      <c r="AK39" s="669"/>
      <c r="AL39" s="669"/>
      <c r="AM39" s="670"/>
    </row>
    <row r="40" spans="1:39" ht="33.75" x14ac:dyDescent="0.5">
      <c r="A40" s="569"/>
      <c r="B40" s="565"/>
      <c r="C40" s="559"/>
      <c r="D40" s="566"/>
      <c r="E40" s="566"/>
      <c r="F40" s="566"/>
      <c r="G40" s="559"/>
      <c r="H40" s="559"/>
      <c r="I40" s="559"/>
      <c r="J40" s="559"/>
      <c r="K40" s="559"/>
      <c r="L40" s="566"/>
      <c r="M40" s="566"/>
      <c r="N40" s="566"/>
      <c r="O40" s="566"/>
      <c r="P40" s="566"/>
      <c r="Q40" s="559"/>
      <c r="R40" s="566"/>
      <c r="S40" s="566"/>
      <c r="T40" s="566"/>
      <c r="U40" s="559"/>
      <c r="V40" s="559"/>
      <c r="W40" s="566"/>
      <c r="X40" s="566"/>
      <c r="Y40" s="566"/>
      <c r="Z40" s="566"/>
      <c r="AA40" s="566"/>
      <c r="AB40" s="566"/>
      <c r="AC40" s="566"/>
      <c r="AD40" s="566"/>
      <c r="AE40" s="559"/>
      <c r="AF40" s="559"/>
      <c r="AG40" s="566"/>
      <c r="AH40" s="566"/>
      <c r="AI40" s="570"/>
      <c r="AJ40" s="570"/>
      <c r="AK40" s="570"/>
      <c r="AL40" s="561"/>
      <c r="AM40" s="571"/>
    </row>
    <row r="41" spans="1:39" ht="18.75" thickBot="1" x14ac:dyDescent="0.3">
      <c r="A41" s="572"/>
      <c r="B41" s="573"/>
      <c r="C41" s="574"/>
      <c r="D41" s="574"/>
      <c r="E41" s="574"/>
      <c r="F41" s="574"/>
      <c r="G41" s="574"/>
      <c r="H41" s="574"/>
      <c r="I41" s="574"/>
      <c r="J41" s="574"/>
      <c r="K41" s="574"/>
      <c r="L41" s="574"/>
      <c r="M41" s="574"/>
      <c r="N41" s="574"/>
      <c r="O41" s="574"/>
      <c r="P41" s="574"/>
      <c r="Q41" s="574"/>
      <c r="R41" s="574"/>
      <c r="S41" s="574"/>
      <c r="T41" s="574"/>
      <c r="U41" s="574"/>
      <c r="V41" s="574"/>
      <c r="W41" s="574"/>
      <c r="X41" s="574"/>
      <c r="Y41" s="574"/>
      <c r="Z41" s="574"/>
      <c r="AA41" s="574"/>
      <c r="AB41" s="574"/>
      <c r="AC41" s="574"/>
      <c r="AD41" s="574"/>
      <c r="AE41" s="574"/>
      <c r="AF41" s="574"/>
      <c r="AG41" s="574"/>
      <c r="AH41" s="574"/>
      <c r="AI41" s="575"/>
      <c r="AJ41" s="575"/>
      <c r="AK41" s="575"/>
      <c r="AL41" s="575"/>
      <c r="AM41" s="576"/>
    </row>
  </sheetData>
  <mergeCells count="21">
    <mergeCell ref="D2:AL2"/>
    <mergeCell ref="D3:AL3"/>
    <mergeCell ref="D4:AL4"/>
    <mergeCell ref="D5:H5"/>
    <mergeCell ref="I5:P5"/>
    <mergeCell ref="X5:AA5"/>
    <mergeCell ref="AB5:AH5"/>
    <mergeCell ref="D6:H6"/>
    <mergeCell ref="I6:P6"/>
    <mergeCell ref="X6:AA6"/>
    <mergeCell ref="AB6:AH6"/>
    <mergeCell ref="D7:H7"/>
    <mergeCell ref="I7:AH7"/>
    <mergeCell ref="A18:AL18"/>
    <mergeCell ref="B39:AM39"/>
    <mergeCell ref="A9:A10"/>
    <mergeCell ref="B9:B10"/>
    <mergeCell ref="C9:C10"/>
    <mergeCell ref="AI9:AL9"/>
    <mergeCell ref="AM9:AM10"/>
    <mergeCell ref="A11:AL11"/>
  </mergeCells>
  <conditionalFormatting sqref="A18 C23:C24">
    <cfRule type="duplicateValues" dxfId="7" priority="4"/>
  </conditionalFormatting>
  <conditionalFormatting sqref="C12">
    <cfRule type="duplicateValues" dxfId="6" priority="3"/>
  </conditionalFormatting>
  <conditionalFormatting sqref="C19">
    <cfRule type="duplicateValues" dxfId="5" priority="2"/>
  </conditionalFormatting>
  <conditionalFormatting sqref="C21">
    <cfRule type="duplicateValues" dxfId="4" priority="1"/>
  </conditionalFormatting>
  <pageMargins left="0.25" right="0.25" top="0.75" bottom="0.75" header="0.3" footer="0.3"/>
  <pageSetup paperSize="5" scale="33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P49"/>
  <sheetViews>
    <sheetView view="pageBreakPreview" topLeftCell="A6" zoomScale="60" zoomScaleNormal="73" workbookViewId="0">
      <selection activeCell="AN22" sqref="AN22"/>
    </sheetView>
  </sheetViews>
  <sheetFormatPr baseColWidth="10" defaultRowHeight="15" x14ac:dyDescent="0.25"/>
  <cols>
    <col min="1" max="1" width="3.42578125" customWidth="1"/>
    <col min="2" max="2" width="4.28515625" customWidth="1"/>
    <col min="3" max="3" width="12" customWidth="1"/>
    <col min="4" max="4" width="50.28515625" customWidth="1"/>
    <col min="5" max="5" width="7.42578125" customWidth="1"/>
    <col min="6" max="6" width="7" customWidth="1"/>
    <col min="7" max="7" width="6.7109375" customWidth="1"/>
    <col min="8" max="8" width="6.28515625" customWidth="1"/>
    <col min="9" max="9" width="6.7109375" customWidth="1"/>
    <col min="10" max="10" width="7.140625" customWidth="1"/>
    <col min="11" max="11" width="6.5703125" customWidth="1"/>
    <col min="12" max="12" width="6.7109375" customWidth="1"/>
    <col min="13" max="14" width="6.28515625" customWidth="1"/>
    <col min="15" max="15" width="7.28515625" customWidth="1"/>
    <col min="16" max="16" width="7" customWidth="1"/>
    <col min="17" max="17" width="7.28515625" customWidth="1"/>
    <col min="18" max="18" width="6.28515625" customWidth="1"/>
    <col min="19" max="19" width="6.140625" customWidth="1"/>
    <col min="20" max="20" width="5.5703125" customWidth="1"/>
    <col min="21" max="21" width="5.28515625" customWidth="1"/>
    <col min="22" max="22" width="6" customWidth="1"/>
    <col min="23" max="23" width="6.5703125" customWidth="1"/>
    <col min="24" max="24" width="7.140625" customWidth="1"/>
    <col min="25" max="25" width="5.85546875" customWidth="1"/>
    <col min="26" max="26" width="6" customWidth="1"/>
    <col min="27" max="27" width="5.85546875" customWidth="1"/>
    <col min="28" max="28" width="6.85546875" customWidth="1"/>
    <col min="29" max="29" width="6" customWidth="1"/>
    <col min="30" max="30" width="5.85546875" customWidth="1"/>
    <col min="31" max="31" width="6.28515625" customWidth="1"/>
    <col min="32" max="32" width="6.7109375" customWidth="1"/>
    <col min="33" max="33" width="6.140625" customWidth="1"/>
    <col min="34" max="34" width="6.85546875" customWidth="1"/>
    <col min="35" max="35" width="6.5703125" customWidth="1"/>
    <col min="36" max="36" width="5.140625" customWidth="1"/>
    <col min="37" max="37" width="4" customWidth="1"/>
    <col min="38" max="38" width="3.85546875" customWidth="1"/>
    <col min="39" max="39" width="4.42578125" customWidth="1"/>
    <col min="40" max="40" width="29" customWidth="1"/>
    <col min="41" max="41" width="56.28515625" customWidth="1"/>
    <col min="42" max="42" width="12.7109375" customWidth="1"/>
  </cols>
  <sheetData>
    <row r="2" spans="1:41" ht="23.25" x14ac:dyDescent="0.35">
      <c r="A2" s="1"/>
      <c r="B2" s="2"/>
      <c r="C2" s="3"/>
      <c r="D2" s="4"/>
      <c r="E2" s="639" t="s">
        <v>0</v>
      </c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39"/>
      <c r="AM2" s="639"/>
      <c r="AN2" s="5"/>
      <c r="AO2" s="1"/>
    </row>
    <row r="3" spans="1:41" ht="23.25" x14ac:dyDescent="0.35">
      <c r="A3" s="1"/>
      <c r="B3" s="2"/>
      <c r="C3" s="3"/>
      <c r="D3" s="4"/>
      <c r="E3" s="639" t="s">
        <v>1</v>
      </c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/>
      <c r="AK3" s="639"/>
      <c r="AL3" s="639"/>
      <c r="AM3" s="639"/>
      <c r="AN3" s="5"/>
      <c r="AO3" s="1"/>
    </row>
    <row r="4" spans="1:41" ht="23.25" x14ac:dyDescent="0.35">
      <c r="A4" s="1"/>
      <c r="B4" s="2"/>
      <c r="C4" s="3"/>
      <c r="D4" s="4"/>
      <c r="E4" s="640"/>
      <c r="F4" s="640"/>
      <c r="G4" s="640"/>
      <c r="H4" s="640"/>
      <c r="I4" s="640"/>
      <c r="J4" s="640"/>
      <c r="K4" s="640"/>
      <c r="L4" s="640"/>
      <c r="M4" s="640"/>
      <c r="N4" s="640"/>
      <c r="O4" s="640"/>
      <c r="P4" s="640"/>
      <c r="Q4" s="640"/>
      <c r="R4" s="640"/>
      <c r="S4" s="640"/>
      <c r="T4" s="640"/>
      <c r="U4" s="640"/>
      <c r="V4" s="640"/>
      <c r="W4" s="640"/>
      <c r="X4" s="640"/>
      <c r="Y4" s="640"/>
      <c r="Z4" s="640"/>
      <c r="AA4" s="640"/>
      <c r="AB4" s="640"/>
      <c r="AC4" s="640"/>
      <c r="AD4" s="640"/>
      <c r="AE4" s="640"/>
      <c r="AF4" s="640"/>
      <c r="AG4" s="640"/>
      <c r="AH4" s="640"/>
      <c r="AI4" s="640"/>
      <c r="AJ4" s="640"/>
      <c r="AK4" s="640"/>
      <c r="AL4" s="640"/>
      <c r="AM4" s="640"/>
      <c r="AN4" s="640"/>
      <c r="AO4" s="1"/>
    </row>
    <row r="5" spans="1:41" s="13" customFormat="1" ht="15.75" x14ac:dyDescent="0.25">
      <c r="A5" s="6"/>
      <c r="B5" s="7"/>
      <c r="C5" s="8"/>
      <c r="D5" s="9"/>
      <c r="E5" s="636" t="s">
        <v>2</v>
      </c>
      <c r="F5" s="636"/>
      <c r="G5" s="636"/>
      <c r="H5" s="636"/>
      <c r="I5" s="636"/>
      <c r="J5" s="637" t="s">
        <v>3</v>
      </c>
      <c r="K5" s="637"/>
      <c r="L5" s="637"/>
      <c r="M5" s="637"/>
      <c r="N5" s="637"/>
      <c r="O5" s="637"/>
      <c r="P5" s="637"/>
      <c r="Q5" s="637"/>
      <c r="R5" s="607"/>
      <c r="S5" s="11"/>
      <c r="T5" s="11"/>
      <c r="U5" s="11"/>
      <c r="V5" s="11"/>
      <c r="W5" s="11"/>
      <c r="X5" s="11"/>
      <c r="Y5" s="636" t="s">
        <v>4</v>
      </c>
      <c r="Z5" s="636"/>
      <c r="AA5" s="636"/>
      <c r="AB5" s="636"/>
      <c r="AC5" s="637" t="s">
        <v>66</v>
      </c>
      <c r="AD5" s="637"/>
      <c r="AE5" s="637"/>
      <c r="AF5" s="637"/>
      <c r="AG5" s="637"/>
      <c r="AH5" s="637"/>
      <c r="AI5" s="637"/>
      <c r="AJ5" s="12"/>
      <c r="AK5" s="12"/>
      <c r="AL5" s="12"/>
      <c r="AM5" s="12"/>
      <c r="AN5" s="12"/>
      <c r="AO5" s="6"/>
    </row>
    <row r="6" spans="1:41" s="13" customFormat="1" ht="15.75" x14ac:dyDescent="0.25">
      <c r="A6" s="6"/>
      <c r="B6" s="7"/>
      <c r="C6" s="8"/>
      <c r="D6" s="9"/>
      <c r="E6" s="636" t="s">
        <v>5</v>
      </c>
      <c r="F6" s="636"/>
      <c r="G6" s="636"/>
      <c r="H6" s="636"/>
      <c r="I6" s="636"/>
      <c r="J6" s="637" t="s">
        <v>6</v>
      </c>
      <c r="K6" s="637"/>
      <c r="L6" s="637"/>
      <c r="M6" s="637"/>
      <c r="N6" s="637"/>
      <c r="O6" s="637"/>
      <c r="P6" s="637"/>
      <c r="Q6" s="637"/>
      <c r="R6" s="607"/>
      <c r="S6" s="11"/>
      <c r="T6" s="11"/>
      <c r="U6" s="11"/>
      <c r="V6" s="11"/>
      <c r="W6" s="11"/>
      <c r="X6" s="11"/>
      <c r="Y6" s="636" t="s">
        <v>7</v>
      </c>
      <c r="Z6" s="636"/>
      <c r="AA6" s="636"/>
      <c r="AB6" s="636"/>
      <c r="AC6" s="638">
        <v>2026</v>
      </c>
      <c r="AD6" s="638"/>
      <c r="AE6" s="638"/>
      <c r="AF6" s="638"/>
      <c r="AG6" s="638"/>
      <c r="AH6" s="638"/>
      <c r="AI6" s="638"/>
      <c r="AJ6" s="12"/>
      <c r="AK6" s="12"/>
      <c r="AL6" s="12"/>
      <c r="AM6" s="12"/>
      <c r="AN6" s="12"/>
      <c r="AO6" s="6"/>
    </row>
    <row r="7" spans="1:41" s="13" customFormat="1" ht="27.75" customHeight="1" x14ac:dyDescent="0.25">
      <c r="A7" s="6"/>
      <c r="B7" s="7"/>
      <c r="C7" s="8"/>
      <c r="D7" s="14"/>
      <c r="E7" s="636" t="s">
        <v>8</v>
      </c>
      <c r="F7" s="636"/>
      <c r="G7" s="636"/>
      <c r="H7" s="636"/>
      <c r="I7" s="636"/>
      <c r="J7" s="637" t="s">
        <v>9</v>
      </c>
      <c r="K7" s="637"/>
      <c r="L7" s="637"/>
      <c r="M7" s="637"/>
      <c r="N7" s="637"/>
      <c r="O7" s="637"/>
      <c r="P7" s="637"/>
      <c r="Q7" s="637"/>
      <c r="R7" s="637"/>
      <c r="S7" s="637"/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7"/>
      <c r="AI7" s="637"/>
      <c r="AJ7" s="12"/>
      <c r="AK7" s="12"/>
      <c r="AL7" s="12"/>
      <c r="AM7" s="12"/>
      <c r="AN7" s="12"/>
      <c r="AO7" s="6"/>
    </row>
    <row r="8" spans="1:41" s="13" customFormat="1" ht="27.75" customHeight="1" x14ac:dyDescent="0.25">
      <c r="A8" s="6"/>
      <c r="B8" s="7"/>
      <c r="C8" s="8"/>
      <c r="D8" s="14"/>
      <c r="E8" s="607"/>
      <c r="F8" s="607"/>
      <c r="G8" s="607"/>
      <c r="H8" s="607"/>
      <c r="I8" s="607"/>
      <c r="J8" s="607"/>
      <c r="K8" s="607"/>
      <c r="L8" s="607"/>
      <c r="M8" s="607"/>
      <c r="N8" s="607"/>
      <c r="O8" s="607"/>
      <c r="P8" s="607"/>
      <c r="Q8" s="607"/>
      <c r="R8" s="607"/>
      <c r="S8" s="607"/>
      <c r="T8" s="607"/>
      <c r="U8" s="607"/>
      <c r="V8" s="607"/>
      <c r="W8" s="607"/>
      <c r="X8" s="607"/>
      <c r="Y8" s="607"/>
      <c r="Z8" s="607"/>
      <c r="AA8" s="607"/>
      <c r="AB8" s="607"/>
      <c r="AC8" s="607"/>
      <c r="AD8" s="607"/>
      <c r="AE8" s="607"/>
      <c r="AF8" s="607"/>
      <c r="AG8" s="607"/>
      <c r="AH8" s="607"/>
      <c r="AI8" s="607"/>
      <c r="AJ8" s="12"/>
      <c r="AK8" s="12"/>
      <c r="AL8" s="12"/>
      <c r="AM8" s="12"/>
      <c r="AN8" s="12"/>
      <c r="AO8" s="6"/>
    </row>
    <row r="9" spans="1:41" s="13" customFormat="1" ht="18.75" customHeight="1" thickBot="1" x14ac:dyDescent="0.3">
      <c r="A9" s="6"/>
      <c r="B9" s="7"/>
      <c r="C9" s="8"/>
      <c r="D9" s="14"/>
      <c r="E9" s="607"/>
      <c r="F9" s="607"/>
      <c r="G9" s="607"/>
      <c r="H9" s="607"/>
      <c r="I9" s="607"/>
      <c r="J9" s="607"/>
      <c r="K9" s="607"/>
      <c r="L9" s="607"/>
      <c r="M9" s="607"/>
      <c r="N9" s="607"/>
      <c r="O9" s="607"/>
      <c r="P9" s="607"/>
      <c r="Q9" s="607"/>
      <c r="R9" s="607"/>
      <c r="S9" s="607"/>
      <c r="T9" s="607"/>
      <c r="U9" s="607"/>
      <c r="V9" s="607"/>
      <c r="W9" s="607"/>
      <c r="X9" s="607"/>
      <c r="Y9" s="607"/>
      <c r="Z9" s="607"/>
      <c r="AA9" s="607"/>
      <c r="AB9" s="607"/>
      <c r="AC9" s="607"/>
      <c r="AD9" s="607"/>
      <c r="AE9" s="607"/>
      <c r="AF9" s="607"/>
      <c r="AG9" s="607"/>
      <c r="AH9" s="607"/>
      <c r="AI9" s="607"/>
      <c r="AJ9" s="12"/>
      <c r="AK9" s="12"/>
      <c r="AL9" s="12"/>
      <c r="AM9" s="12"/>
      <c r="AN9" s="12"/>
      <c r="AO9" s="6"/>
    </row>
    <row r="10" spans="1:41" s="13" customFormat="1" ht="18" x14ac:dyDescent="0.2">
      <c r="A10" s="6"/>
      <c r="B10" s="626" t="s">
        <v>10</v>
      </c>
      <c r="C10" s="628" t="s">
        <v>11</v>
      </c>
      <c r="D10" s="630" t="s">
        <v>12</v>
      </c>
      <c r="E10" s="15" t="s">
        <v>13</v>
      </c>
      <c r="F10" s="16" t="s">
        <v>17</v>
      </c>
      <c r="G10" s="16" t="s">
        <v>18</v>
      </c>
      <c r="H10" s="16" t="s">
        <v>18</v>
      </c>
      <c r="I10" s="16" t="s">
        <v>19</v>
      </c>
      <c r="J10" s="16" t="s">
        <v>14</v>
      </c>
      <c r="K10" s="17" t="s">
        <v>15</v>
      </c>
      <c r="L10" s="17" t="s">
        <v>16</v>
      </c>
      <c r="M10" s="16" t="s">
        <v>17</v>
      </c>
      <c r="N10" s="16" t="s">
        <v>18</v>
      </c>
      <c r="O10" s="16" t="s">
        <v>18</v>
      </c>
      <c r="P10" s="16" t="s">
        <v>19</v>
      </c>
      <c r="Q10" s="16" t="s">
        <v>14</v>
      </c>
      <c r="R10" s="17" t="s">
        <v>15</v>
      </c>
      <c r="S10" s="17" t="s">
        <v>16</v>
      </c>
      <c r="T10" s="16" t="s">
        <v>17</v>
      </c>
      <c r="U10" s="16" t="s">
        <v>18</v>
      </c>
      <c r="V10" s="16" t="s">
        <v>18</v>
      </c>
      <c r="W10" s="16" t="s">
        <v>19</v>
      </c>
      <c r="X10" s="16" t="s">
        <v>14</v>
      </c>
      <c r="Y10" s="17" t="s">
        <v>15</v>
      </c>
      <c r="Z10" s="17" t="s">
        <v>16</v>
      </c>
      <c r="AA10" s="16" t="s">
        <v>17</v>
      </c>
      <c r="AB10" s="16" t="s">
        <v>18</v>
      </c>
      <c r="AC10" s="16" t="s">
        <v>18</v>
      </c>
      <c r="AD10" s="16" t="s">
        <v>19</v>
      </c>
      <c r="AE10" s="16" t="s">
        <v>14</v>
      </c>
      <c r="AF10" s="17" t="s">
        <v>15</v>
      </c>
      <c r="AG10" s="17" t="s">
        <v>16</v>
      </c>
      <c r="AH10" s="16" t="s">
        <v>17</v>
      </c>
      <c r="AI10" s="16" t="s">
        <v>18</v>
      </c>
      <c r="AJ10" s="632" t="s">
        <v>20</v>
      </c>
      <c r="AK10" s="633"/>
      <c r="AL10" s="633"/>
      <c r="AM10" s="633"/>
      <c r="AN10" s="633"/>
      <c r="AO10" s="634" t="s">
        <v>21</v>
      </c>
    </row>
    <row r="11" spans="1:41" s="13" customFormat="1" ht="25.5" customHeight="1" thickBot="1" x14ac:dyDescent="0.25">
      <c r="A11" s="6"/>
      <c r="B11" s="627"/>
      <c r="C11" s="629"/>
      <c r="D11" s="631"/>
      <c r="E11" s="18" t="s">
        <v>22</v>
      </c>
      <c r="F11" s="19">
        <v>1</v>
      </c>
      <c r="G11" s="19">
        <v>2</v>
      </c>
      <c r="H11" s="19">
        <v>3</v>
      </c>
      <c r="I11" s="19">
        <v>4</v>
      </c>
      <c r="J11" s="19">
        <v>5</v>
      </c>
      <c r="K11" s="19">
        <v>6</v>
      </c>
      <c r="L11" s="19">
        <v>7</v>
      </c>
      <c r="M11" s="19">
        <v>8</v>
      </c>
      <c r="N11" s="19">
        <v>9</v>
      </c>
      <c r="O11" s="19">
        <v>10</v>
      </c>
      <c r="P11" s="19">
        <v>11</v>
      </c>
      <c r="Q11" s="19">
        <v>12</v>
      </c>
      <c r="R11" s="19">
        <v>13</v>
      </c>
      <c r="S11" s="19">
        <v>14</v>
      </c>
      <c r="T11" s="19">
        <v>15</v>
      </c>
      <c r="U11" s="19">
        <v>16</v>
      </c>
      <c r="V11" s="19">
        <v>17</v>
      </c>
      <c r="W11" s="19">
        <v>18</v>
      </c>
      <c r="X11" s="19">
        <v>19</v>
      </c>
      <c r="Y11" s="19">
        <v>20</v>
      </c>
      <c r="Z11" s="19">
        <v>21</v>
      </c>
      <c r="AA11" s="19">
        <v>22</v>
      </c>
      <c r="AB11" s="19">
        <v>23</v>
      </c>
      <c r="AC11" s="19">
        <v>24</v>
      </c>
      <c r="AD11" s="19">
        <v>25</v>
      </c>
      <c r="AE11" s="19">
        <v>26</v>
      </c>
      <c r="AF11" s="19">
        <v>27</v>
      </c>
      <c r="AG11" s="19">
        <v>28</v>
      </c>
      <c r="AH11" s="19">
        <v>29</v>
      </c>
      <c r="AI11" s="19">
        <v>30</v>
      </c>
      <c r="AJ11" s="20" t="s">
        <v>23</v>
      </c>
      <c r="AK11" s="21" t="s">
        <v>24</v>
      </c>
      <c r="AL11" s="22" t="s">
        <v>25</v>
      </c>
      <c r="AM11" s="22" t="s">
        <v>17</v>
      </c>
      <c r="AN11" s="23"/>
      <c r="AO11" s="635"/>
    </row>
    <row r="12" spans="1:41" s="13" customFormat="1" ht="25.5" customHeight="1" thickBot="1" x14ac:dyDescent="0.25">
      <c r="A12" s="6"/>
      <c r="B12" s="24"/>
      <c r="C12" s="25"/>
      <c r="D12" s="26" t="s">
        <v>26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8" t="s">
        <v>27</v>
      </c>
      <c r="AO12" s="29"/>
    </row>
    <row r="13" spans="1:41" s="13" customFormat="1" ht="25.5" customHeight="1" thickBot="1" x14ac:dyDescent="0.4">
      <c r="A13" s="6"/>
      <c r="B13" s="30">
        <v>1</v>
      </c>
      <c r="C13" s="31" t="s">
        <v>28</v>
      </c>
      <c r="D13" s="32" t="s">
        <v>29</v>
      </c>
      <c r="E13" s="33"/>
      <c r="F13" s="348" t="s">
        <v>23</v>
      </c>
      <c r="G13" s="328" t="s">
        <v>23</v>
      </c>
      <c r="H13" s="328" t="s">
        <v>23</v>
      </c>
      <c r="I13" s="328" t="s">
        <v>23</v>
      </c>
      <c r="J13" s="328" t="s">
        <v>23</v>
      </c>
      <c r="K13" s="343" t="s">
        <v>17</v>
      </c>
      <c r="L13" s="343" t="s">
        <v>17</v>
      </c>
      <c r="M13" s="348" t="s">
        <v>23</v>
      </c>
      <c r="N13" s="328" t="s">
        <v>23</v>
      </c>
      <c r="O13" s="328" t="s">
        <v>23</v>
      </c>
      <c r="P13" s="328" t="s">
        <v>23</v>
      </c>
      <c r="Q13" s="328" t="s">
        <v>23</v>
      </c>
      <c r="R13" s="343" t="s">
        <v>17</v>
      </c>
      <c r="S13" s="343" t="s">
        <v>17</v>
      </c>
      <c r="T13" s="348" t="s">
        <v>23</v>
      </c>
      <c r="U13" s="328" t="s">
        <v>23</v>
      </c>
      <c r="V13" s="328" t="s">
        <v>23</v>
      </c>
      <c r="W13" s="328" t="s">
        <v>23</v>
      </c>
      <c r="X13" s="328" t="s">
        <v>23</v>
      </c>
      <c r="Y13" s="343" t="s">
        <v>17</v>
      </c>
      <c r="Z13" s="343" t="s">
        <v>17</v>
      </c>
      <c r="AA13" s="348" t="s">
        <v>23</v>
      </c>
      <c r="AB13" s="328" t="s">
        <v>23</v>
      </c>
      <c r="AC13" s="328" t="s">
        <v>23</v>
      </c>
      <c r="AD13" s="328" t="s">
        <v>23</v>
      </c>
      <c r="AE13" s="328" t="s">
        <v>23</v>
      </c>
      <c r="AF13" s="343" t="s">
        <v>17</v>
      </c>
      <c r="AG13" s="343" t="s">
        <v>17</v>
      </c>
      <c r="AH13" s="328" t="s">
        <v>23</v>
      </c>
      <c r="AI13" s="328" t="s">
        <v>23</v>
      </c>
      <c r="AJ13" s="36">
        <v>22</v>
      </c>
      <c r="AK13" s="36">
        <v>0</v>
      </c>
      <c r="AL13" s="36">
        <v>0</v>
      </c>
      <c r="AM13" s="37">
        <v>8</v>
      </c>
      <c r="AN13" s="38"/>
      <c r="AO13" s="39"/>
    </row>
    <row r="14" spans="1:41" s="13" customFormat="1" ht="25.5" customHeight="1" thickBot="1" x14ac:dyDescent="0.25">
      <c r="A14" s="6"/>
      <c r="B14" s="40"/>
      <c r="C14" s="41"/>
      <c r="D14" s="42" t="s">
        <v>30</v>
      </c>
      <c r="E14" s="310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0"/>
      <c r="AA14" s="310"/>
      <c r="AB14" s="310"/>
      <c r="AC14" s="311"/>
      <c r="AD14" s="311"/>
      <c r="AE14" s="311"/>
      <c r="AF14" s="311"/>
      <c r="AG14" s="311"/>
      <c r="AH14" s="311"/>
      <c r="AI14" s="311"/>
      <c r="AJ14" s="311"/>
      <c r="AK14" s="311"/>
      <c r="AL14" s="311"/>
      <c r="AM14" s="311"/>
      <c r="AN14" s="43"/>
      <c r="AO14" s="44"/>
    </row>
    <row r="15" spans="1:41" s="13" customFormat="1" ht="30" customHeight="1" x14ac:dyDescent="0.35">
      <c r="A15" s="6">
        <v>7</v>
      </c>
      <c r="B15" s="45">
        <v>1</v>
      </c>
      <c r="C15" s="46">
        <v>100114</v>
      </c>
      <c r="D15" s="47" t="s">
        <v>31</v>
      </c>
      <c r="E15" s="48"/>
      <c r="F15" s="356" t="s">
        <v>23</v>
      </c>
      <c r="G15" s="328" t="s">
        <v>23</v>
      </c>
      <c r="H15" s="342" t="s">
        <v>17</v>
      </c>
      <c r="I15" s="338" t="s">
        <v>24</v>
      </c>
      <c r="J15" s="337" t="s">
        <v>17</v>
      </c>
      <c r="K15" s="339" t="s">
        <v>23</v>
      </c>
      <c r="L15" s="340" t="s">
        <v>25</v>
      </c>
      <c r="M15" s="337" t="s">
        <v>17</v>
      </c>
      <c r="N15" s="351" t="s">
        <v>23</v>
      </c>
      <c r="O15" s="338" t="s">
        <v>24</v>
      </c>
      <c r="P15" s="341" t="s">
        <v>24</v>
      </c>
      <c r="Q15" s="342" t="s">
        <v>25</v>
      </c>
      <c r="R15" s="340" t="s">
        <v>17</v>
      </c>
      <c r="S15" s="340" t="s">
        <v>17</v>
      </c>
      <c r="T15" s="340">
        <v>1</v>
      </c>
      <c r="U15" s="340">
        <v>2</v>
      </c>
      <c r="V15" s="340">
        <v>3</v>
      </c>
      <c r="W15" s="340">
        <v>4</v>
      </c>
      <c r="X15" s="340">
        <v>5</v>
      </c>
      <c r="Y15" s="340" t="s">
        <v>17</v>
      </c>
      <c r="Z15" s="343" t="s">
        <v>17</v>
      </c>
      <c r="AA15" s="343">
        <v>6</v>
      </c>
      <c r="AB15" s="343">
        <v>7</v>
      </c>
      <c r="AC15" s="340">
        <v>8</v>
      </c>
      <c r="AD15" s="340">
        <v>9</v>
      </c>
      <c r="AE15" s="340">
        <v>10</v>
      </c>
      <c r="AF15" s="340" t="s">
        <v>17</v>
      </c>
      <c r="AG15" s="340" t="s">
        <v>17</v>
      </c>
      <c r="AH15" s="340">
        <v>11</v>
      </c>
      <c r="AI15" s="340">
        <v>12</v>
      </c>
      <c r="AJ15" s="52">
        <v>4</v>
      </c>
      <c r="AK15" s="53">
        <v>3</v>
      </c>
      <c r="AL15" s="54">
        <v>2</v>
      </c>
      <c r="AM15" s="55">
        <v>9</v>
      </c>
      <c r="AN15" s="56"/>
      <c r="AO15" s="57" t="s">
        <v>101</v>
      </c>
    </row>
    <row r="16" spans="1:41" s="13" customFormat="1" ht="30" customHeight="1" x14ac:dyDescent="0.35">
      <c r="A16" s="6"/>
      <c r="B16" s="45">
        <v>2</v>
      </c>
      <c r="C16" s="58">
        <v>100115</v>
      </c>
      <c r="D16" s="59" t="s">
        <v>32</v>
      </c>
      <c r="E16" s="48"/>
      <c r="F16" s="615" t="s">
        <v>23</v>
      </c>
      <c r="G16" s="337" t="s">
        <v>25</v>
      </c>
      <c r="H16" s="337" t="s">
        <v>17</v>
      </c>
      <c r="I16" s="328" t="s">
        <v>23</v>
      </c>
      <c r="J16" s="337" t="s">
        <v>25</v>
      </c>
      <c r="K16" s="340" t="s">
        <v>17</v>
      </c>
      <c r="L16" s="339" t="s">
        <v>23</v>
      </c>
      <c r="M16" s="341" t="s">
        <v>24</v>
      </c>
      <c r="N16" s="338" t="s">
        <v>24</v>
      </c>
      <c r="O16" s="337" t="s">
        <v>25</v>
      </c>
      <c r="P16" s="337" t="s">
        <v>17</v>
      </c>
      <c r="Q16" s="338" t="s">
        <v>24</v>
      </c>
      <c r="R16" s="343" t="s">
        <v>17</v>
      </c>
      <c r="S16" s="340" t="s">
        <v>17</v>
      </c>
      <c r="T16" s="328" t="s">
        <v>23</v>
      </c>
      <c r="U16" s="337" t="s">
        <v>17</v>
      </c>
      <c r="V16" s="328" t="s">
        <v>23</v>
      </c>
      <c r="W16" s="328" t="s">
        <v>23</v>
      </c>
      <c r="X16" s="328" t="s">
        <v>23</v>
      </c>
      <c r="Y16" s="346" t="s">
        <v>24</v>
      </c>
      <c r="Z16" s="343" t="s">
        <v>17</v>
      </c>
      <c r="AA16" s="341" t="s">
        <v>24</v>
      </c>
      <c r="AB16" s="341" t="s">
        <v>24</v>
      </c>
      <c r="AC16" s="342" t="s">
        <v>17</v>
      </c>
      <c r="AD16" s="347" t="s">
        <v>23</v>
      </c>
      <c r="AE16" s="347" t="s">
        <v>23</v>
      </c>
      <c r="AF16" s="340" t="s">
        <v>25</v>
      </c>
      <c r="AG16" s="340" t="s">
        <v>25</v>
      </c>
      <c r="AH16" s="342" t="s">
        <v>17</v>
      </c>
      <c r="AI16" s="337" t="s">
        <v>17</v>
      </c>
      <c r="AJ16" s="52">
        <v>9</v>
      </c>
      <c r="AK16" s="53">
        <v>6</v>
      </c>
      <c r="AL16" s="54">
        <v>5</v>
      </c>
      <c r="AM16" s="55">
        <v>10</v>
      </c>
      <c r="AN16" s="56"/>
      <c r="AO16" s="61"/>
    </row>
    <row r="17" spans="1:41" s="13" customFormat="1" ht="30" customHeight="1" x14ac:dyDescent="0.35">
      <c r="A17" s="6"/>
      <c r="B17" s="62">
        <v>3</v>
      </c>
      <c r="C17" s="63">
        <v>100113</v>
      </c>
      <c r="D17" s="64" t="s">
        <v>33</v>
      </c>
      <c r="E17" s="65"/>
      <c r="F17" s="341" t="s">
        <v>24</v>
      </c>
      <c r="G17" s="341" t="s">
        <v>24</v>
      </c>
      <c r="H17" s="342" t="s">
        <v>25</v>
      </c>
      <c r="I17" s="342" t="s">
        <v>17</v>
      </c>
      <c r="J17" s="349" t="s">
        <v>23</v>
      </c>
      <c r="K17" s="343" t="s">
        <v>25</v>
      </c>
      <c r="L17" s="343" t="s">
        <v>17</v>
      </c>
      <c r="M17" s="351" t="s">
        <v>23</v>
      </c>
      <c r="N17" s="337" t="s">
        <v>17</v>
      </c>
      <c r="O17" s="351" t="s">
        <v>23</v>
      </c>
      <c r="P17" s="337" t="s">
        <v>25</v>
      </c>
      <c r="Q17" s="337" t="s">
        <v>17</v>
      </c>
      <c r="R17" s="350" t="s">
        <v>24</v>
      </c>
      <c r="S17" s="350" t="s">
        <v>24</v>
      </c>
      <c r="T17" s="342" t="s">
        <v>35</v>
      </c>
      <c r="U17" s="341" t="s">
        <v>24</v>
      </c>
      <c r="V17" s="337" t="s">
        <v>17</v>
      </c>
      <c r="W17" s="342" t="s">
        <v>25</v>
      </c>
      <c r="X17" s="342" t="s">
        <v>25</v>
      </c>
      <c r="Y17" s="343" t="s">
        <v>17</v>
      </c>
      <c r="Z17" s="343" t="s">
        <v>17</v>
      </c>
      <c r="AA17" s="343">
        <v>1</v>
      </c>
      <c r="AB17" s="340">
        <v>2</v>
      </c>
      <c r="AC17" s="343">
        <v>3</v>
      </c>
      <c r="AD17" s="343">
        <v>4</v>
      </c>
      <c r="AE17" s="343">
        <v>5</v>
      </c>
      <c r="AF17" s="343" t="s">
        <v>17</v>
      </c>
      <c r="AG17" s="343" t="s">
        <v>17</v>
      </c>
      <c r="AH17" s="343">
        <v>6</v>
      </c>
      <c r="AI17" s="343">
        <v>7</v>
      </c>
      <c r="AJ17" s="66">
        <v>3</v>
      </c>
      <c r="AK17" s="67">
        <v>5</v>
      </c>
      <c r="AL17" s="68">
        <v>5</v>
      </c>
      <c r="AM17" s="69">
        <v>9</v>
      </c>
      <c r="AN17" s="70" t="s">
        <v>35</v>
      </c>
      <c r="AO17" s="318" t="s">
        <v>102</v>
      </c>
    </row>
    <row r="18" spans="1:41" s="13" customFormat="1" ht="30" customHeight="1" x14ac:dyDescent="0.35">
      <c r="A18" s="6"/>
      <c r="B18" s="62">
        <v>4</v>
      </c>
      <c r="C18" s="63">
        <v>100455</v>
      </c>
      <c r="D18" s="64" t="s">
        <v>34</v>
      </c>
      <c r="E18" s="65"/>
      <c r="F18" s="343">
        <v>11</v>
      </c>
      <c r="G18" s="340">
        <v>12</v>
      </c>
      <c r="H18" s="343">
        <v>13</v>
      </c>
      <c r="I18" s="343">
        <v>14</v>
      </c>
      <c r="J18" s="343">
        <v>15</v>
      </c>
      <c r="K18" s="343" t="s">
        <v>17</v>
      </c>
      <c r="L18" s="343" t="s">
        <v>17</v>
      </c>
      <c r="M18" s="343">
        <v>16</v>
      </c>
      <c r="N18" s="343">
        <v>17</v>
      </c>
      <c r="O18" s="343">
        <v>18</v>
      </c>
      <c r="P18" s="343">
        <v>19</v>
      </c>
      <c r="Q18" s="343">
        <v>20</v>
      </c>
      <c r="R18" s="343" t="s">
        <v>17</v>
      </c>
      <c r="S18" s="343" t="s">
        <v>17</v>
      </c>
      <c r="T18" s="343">
        <v>21</v>
      </c>
      <c r="U18" s="343">
        <v>22</v>
      </c>
      <c r="V18" s="343">
        <v>23</v>
      </c>
      <c r="W18" s="343">
        <v>24</v>
      </c>
      <c r="X18" s="51" t="s">
        <v>123</v>
      </c>
      <c r="Y18" s="353" t="s">
        <v>23</v>
      </c>
      <c r="Z18" s="329" t="s">
        <v>23</v>
      </c>
      <c r="AA18" s="342" t="s">
        <v>17</v>
      </c>
      <c r="AB18" s="342" t="s">
        <v>25</v>
      </c>
      <c r="AC18" s="342" t="s">
        <v>17</v>
      </c>
      <c r="AD18" s="342" t="s">
        <v>25</v>
      </c>
      <c r="AE18" s="342" t="s">
        <v>17</v>
      </c>
      <c r="AF18" s="349" t="s">
        <v>23</v>
      </c>
      <c r="AG18" s="350" t="s">
        <v>24</v>
      </c>
      <c r="AH18" s="342" t="s">
        <v>25</v>
      </c>
      <c r="AI18" s="337" t="s">
        <v>17</v>
      </c>
      <c r="AJ18" s="66">
        <v>4</v>
      </c>
      <c r="AK18" s="67">
        <v>1</v>
      </c>
      <c r="AL18" s="68">
        <v>3</v>
      </c>
      <c r="AM18" s="69">
        <v>8</v>
      </c>
      <c r="AN18" s="70" t="s">
        <v>181</v>
      </c>
      <c r="AO18" s="72" t="s">
        <v>182</v>
      </c>
    </row>
    <row r="19" spans="1:41" s="13" customFormat="1" ht="30" customHeight="1" x14ac:dyDescent="0.35">
      <c r="A19" s="6"/>
      <c r="B19" s="62">
        <v>5</v>
      </c>
      <c r="C19" s="63">
        <v>100390</v>
      </c>
      <c r="D19" s="64" t="s">
        <v>37</v>
      </c>
      <c r="E19" s="65"/>
      <c r="F19" s="342" t="s">
        <v>25</v>
      </c>
      <c r="G19" s="342" t="s">
        <v>17</v>
      </c>
      <c r="H19" s="354" t="s">
        <v>24</v>
      </c>
      <c r="I19" s="342" t="s">
        <v>25</v>
      </c>
      <c r="J19" s="342" t="s">
        <v>17</v>
      </c>
      <c r="K19" s="343" t="s">
        <v>17</v>
      </c>
      <c r="L19" s="343" t="s">
        <v>17</v>
      </c>
      <c r="M19" s="342" t="s">
        <v>183</v>
      </c>
      <c r="N19" s="342" t="s">
        <v>118</v>
      </c>
      <c r="O19" s="342" t="s">
        <v>107</v>
      </c>
      <c r="P19" s="342" t="s">
        <v>17</v>
      </c>
      <c r="Q19" s="342" t="s">
        <v>35</v>
      </c>
      <c r="R19" s="352" t="s">
        <v>23</v>
      </c>
      <c r="S19" s="343" t="s">
        <v>25</v>
      </c>
      <c r="T19" s="342" t="s">
        <v>17</v>
      </c>
      <c r="U19" s="348" t="s">
        <v>23</v>
      </c>
      <c r="V19" s="342" t="s">
        <v>25</v>
      </c>
      <c r="W19" s="342" t="s">
        <v>17</v>
      </c>
      <c r="X19" s="342" t="s">
        <v>17</v>
      </c>
      <c r="Y19" s="349" t="s">
        <v>23</v>
      </c>
      <c r="Z19" s="350" t="s">
        <v>24</v>
      </c>
      <c r="AA19" s="342" t="s">
        <v>25</v>
      </c>
      <c r="AB19" s="342" t="s">
        <v>17</v>
      </c>
      <c r="AC19" s="341" t="s">
        <v>24</v>
      </c>
      <c r="AD19" s="341" t="s">
        <v>24</v>
      </c>
      <c r="AE19" s="342" t="s">
        <v>17</v>
      </c>
      <c r="AF19" s="329" t="s">
        <v>23</v>
      </c>
      <c r="AG19" s="329" t="s">
        <v>23</v>
      </c>
      <c r="AH19" s="342" t="s">
        <v>35</v>
      </c>
      <c r="AI19" s="341" t="s">
        <v>24</v>
      </c>
      <c r="AJ19" s="66">
        <v>5</v>
      </c>
      <c r="AK19" s="67">
        <v>5</v>
      </c>
      <c r="AL19" s="68">
        <v>5</v>
      </c>
      <c r="AM19" s="69">
        <v>10</v>
      </c>
      <c r="AN19" s="624" t="s">
        <v>185</v>
      </c>
      <c r="AO19" s="72"/>
    </row>
    <row r="20" spans="1:41" s="13" customFormat="1" ht="30" customHeight="1" x14ac:dyDescent="0.35">
      <c r="A20" s="6"/>
      <c r="B20" s="62">
        <v>6</v>
      </c>
      <c r="C20" s="63">
        <v>100116</v>
      </c>
      <c r="D20" s="64" t="s">
        <v>38</v>
      </c>
      <c r="E20" s="65"/>
      <c r="F20" s="343">
        <v>21</v>
      </c>
      <c r="G20" s="343">
        <v>22</v>
      </c>
      <c r="H20" s="343">
        <v>23</v>
      </c>
      <c r="I20" s="343">
        <v>24</v>
      </c>
      <c r="J20" s="348" t="s">
        <v>23</v>
      </c>
      <c r="K20" s="343" t="s">
        <v>17</v>
      </c>
      <c r="L20" s="343" t="s">
        <v>17</v>
      </c>
      <c r="M20" s="51" t="s">
        <v>133</v>
      </c>
      <c r="N20" s="342" t="s">
        <v>17</v>
      </c>
      <c r="O20" s="689" t="s">
        <v>186</v>
      </c>
      <c r="P20" s="348" t="s">
        <v>23</v>
      </c>
      <c r="Q20" s="337" t="s">
        <v>17</v>
      </c>
      <c r="R20" s="353" t="s">
        <v>23</v>
      </c>
      <c r="S20" s="329" t="s">
        <v>23</v>
      </c>
      <c r="T20" s="342" t="s">
        <v>25</v>
      </c>
      <c r="U20" s="342" t="s">
        <v>17</v>
      </c>
      <c r="V20" s="341" t="s">
        <v>24</v>
      </c>
      <c r="W20" s="341" t="s">
        <v>24</v>
      </c>
      <c r="X20" s="342" t="s">
        <v>17</v>
      </c>
      <c r="Y20" s="343" t="s">
        <v>25</v>
      </c>
      <c r="Z20" s="343" t="s">
        <v>25</v>
      </c>
      <c r="AA20" s="342" t="s">
        <v>17</v>
      </c>
      <c r="AB20" s="51" t="s">
        <v>123</v>
      </c>
      <c r="AC20" s="342" t="s">
        <v>25</v>
      </c>
      <c r="AD20" s="342" t="s">
        <v>17</v>
      </c>
      <c r="AE20" s="341" t="s">
        <v>24</v>
      </c>
      <c r="AF20" s="350" t="s">
        <v>24</v>
      </c>
      <c r="AG20" s="343" t="s">
        <v>17</v>
      </c>
      <c r="AH20" s="341" t="s">
        <v>24</v>
      </c>
      <c r="AI20" s="342" t="s">
        <v>25</v>
      </c>
      <c r="AJ20" s="66">
        <v>4</v>
      </c>
      <c r="AK20" s="67">
        <v>5</v>
      </c>
      <c r="AL20" s="68">
        <v>5</v>
      </c>
      <c r="AM20" s="69">
        <v>9</v>
      </c>
      <c r="AN20" s="70" t="s">
        <v>188</v>
      </c>
      <c r="AO20" s="72" t="s">
        <v>187</v>
      </c>
    </row>
    <row r="21" spans="1:41" s="13" customFormat="1" ht="30" customHeight="1" x14ac:dyDescent="0.35">
      <c r="A21" s="6"/>
      <c r="B21" s="62">
        <v>7</v>
      </c>
      <c r="C21" s="63">
        <v>100432</v>
      </c>
      <c r="D21" s="64" t="s">
        <v>39</v>
      </c>
      <c r="E21" s="65"/>
      <c r="F21" s="355" t="s">
        <v>17</v>
      </c>
      <c r="G21" s="342" t="s">
        <v>17</v>
      </c>
      <c r="H21" s="356" t="s">
        <v>23</v>
      </c>
      <c r="I21" s="342" t="s">
        <v>120</v>
      </c>
      <c r="J21" s="338" t="s">
        <v>24</v>
      </c>
      <c r="K21" s="350" t="s">
        <v>24</v>
      </c>
      <c r="L21" s="350" t="s">
        <v>24</v>
      </c>
      <c r="M21" s="342" t="s">
        <v>25</v>
      </c>
      <c r="N21" s="342" t="s">
        <v>25</v>
      </c>
      <c r="O21" s="342" t="s">
        <v>17</v>
      </c>
      <c r="P21" s="342" t="s">
        <v>17</v>
      </c>
      <c r="Q21" s="348" t="s">
        <v>23</v>
      </c>
      <c r="R21" s="343" t="s">
        <v>25</v>
      </c>
      <c r="S21" s="343" t="s">
        <v>17</v>
      </c>
      <c r="T21" s="341" t="s">
        <v>24</v>
      </c>
      <c r="U21" s="342" t="s">
        <v>25</v>
      </c>
      <c r="V21" s="342" t="s">
        <v>17</v>
      </c>
      <c r="W21" s="349" t="s">
        <v>23</v>
      </c>
      <c r="X21" s="341" t="s">
        <v>24</v>
      </c>
      <c r="Y21" s="340" t="s">
        <v>17</v>
      </c>
      <c r="Z21" s="340" t="s">
        <v>17</v>
      </c>
      <c r="AA21" s="348" t="s">
        <v>23</v>
      </c>
      <c r="AB21" s="348" t="s">
        <v>23</v>
      </c>
      <c r="AC21" s="348" t="s">
        <v>23</v>
      </c>
      <c r="AD21" s="342" t="s">
        <v>121</v>
      </c>
      <c r="AE21" s="342" t="s">
        <v>25</v>
      </c>
      <c r="AF21" s="343" t="s">
        <v>17</v>
      </c>
      <c r="AG21" s="343" t="s">
        <v>17</v>
      </c>
      <c r="AH21" s="347" t="s">
        <v>23</v>
      </c>
      <c r="AI21" s="347" t="s">
        <v>23</v>
      </c>
      <c r="AJ21" s="66">
        <v>6</v>
      </c>
      <c r="AK21" s="67">
        <v>7</v>
      </c>
      <c r="AL21" s="68">
        <v>5</v>
      </c>
      <c r="AM21" s="69">
        <v>10</v>
      </c>
      <c r="AN21" s="70" t="s">
        <v>116</v>
      </c>
      <c r="AO21" s="73" t="s">
        <v>96</v>
      </c>
    </row>
    <row r="22" spans="1:41" s="13" customFormat="1" ht="30" customHeight="1" x14ac:dyDescent="0.35">
      <c r="A22" s="6"/>
      <c r="B22" s="608">
        <v>8</v>
      </c>
      <c r="C22" s="63">
        <v>100475</v>
      </c>
      <c r="D22" s="64" t="s">
        <v>100</v>
      </c>
      <c r="E22" s="65"/>
      <c r="F22" s="690">
        <v>12</v>
      </c>
      <c r="G22" s="691">
        <v>13</v>
      </c>
      <c r="H22" s="692">
        <v>14</v>
      </c>
      <c r="I22" s="691">
        <v>15</v>
      </c>
      <c r="J22" s="693">
        <v>16</v>
      </c>
      <c r="K22" s="691">
        <v>17</v>
      </c>
      <c r="L22" s="691">
        <v>18</v>
      </c>
      <c r="M22" s="691">
        <v>19</v>
      </c>
      <c r="N22" s="691">
        <v>20</v>
      </c>
      <c r="O22" s="691">
        <v>21</v>
      </c>
      <c r="P22" s="691">
        <v>22</v>
      </c>
      <c r="Q22" s="691">
        <v>23</v>
      </c>
      <c r="R22" s="691">
        <v>24</v>
      </c>
      <c r="S22" s="691">
        <v>25</v>
      </c>
      <c r="T22" s="691">
        <v>26</v>
      </c>
      <c r="U22" s="691">
        <v>27</v>
      </c>
      <c r="V22" s="691">
        <v>28</v>
      </c>
      <c r="W22" s="691">
        <v>29</v>
      </c>
      <c r="X22" s="691">
        <v>30</v>
      </c>
      <c r="Y22" s="340" t="s">
        <v>17</v>
      </c>
      <c r="Z22" s="340" t="s">
        <v>17</v>
      </c>
      <c r="AA22" s="348" t="s">
        <v>23</v>
      </c>
      <c r="AB22" s="328" t="s">
        <v>23</v>
      </c>
      <c r="AC22" s="328" t="s">
        <v>23</v>
      </c>
      <c r="AD22" s="328" t="s">
        <v>23</v>
      </c>
      <c r="AE22" s="328" t="s">
        <v>23</v>
      </c>
      <c r="AF22" s="340" t="s">
        <v>17</v>
      </c>
      <c r="AG22" s="340" t="s">
        <v>17</v>
      </c>
      <c r="AH22" s="328" t="s">
        <v>23</v>
      </c>
      <c r="AI22" s="328" t="s">
        <v>23</v>
      </c>
      <c r="AJ22" s="609">
        <v>7</v>
      </c>
      <c r="AK22" s="610">
        <v>0</v>
      </c>
      <c r="AL22" s="611">
        <v>0</v>
      </c>
      <c r="AM22" s="612">
        <v>4</v>
      </c>
      <c r="AN22" s="613"/>
      <c r="AO22" s="614" t="s">
        <v>191</v>
      </c>
    </row>
    <row r="23" spans="1:41" s="13" customFormat="1" ht="27.75" customHeight="1" thickBot="1" x14ac:dyDescent="0.3">
      <c r="A23" s="6"/>
      <c r="B23" s="74"/>
      <c r="C23" s="63"/>
      <c r="D23" s="64"/>
      <c r="E23" s="77"/>
      <c r="F23" s="81"/>
      <c r="G23" s="82"/>
      <c r="H23" s="79"/>
      <c r="I23" s="79"/>
      <c r="J23" s="79"/>
      <c r="K23" s="84"/>
      <c r="L23" s="312"/>
      <c r="M23" s="81"/>
      <c r="N23" s="79"/>
      <c r="O23" s="79"/>
      <c r="P23" s="79"/>
      <c r="Q23" s="79"/>
      <c r="R23" s="84"/>
      <c r="S23" s="312"/>
      <c r="T23" s="81"/>
      <c r="U23" s="79"/>
      <c r="V23" s="79"/>
      <c r="W23" s="80"/>
      <c r="X23" s="80"/>
      <c r="Y23" s="84"/>
      <c r="Z23" s="312"/>
      <c r="AA23" s="81"/>
      <c r="AB23" s="82"/>
      <c r="AC23" s="82"/>
      <c r="AD23" s="82"/>
      <c r="AE23" s="82"/>
      <c r="AF23" s="78"/>
      <c r="AG23" s="313"/>
      <c r="AH23" s="83"/>
      <c r="AI23" s="309"/>
      <c r="AJ23" s="85"/>
      <c r="AK23" s="86"/>
      <c r="AL23" s="86"/>
      <c r="AM23" s="87"/>
      <c r="AN23" s="88"/>
      <c r="AO23" s="89"/>
    </row>
    <row r="24" spans="1:41" s="13" customFormat="1" ht="15.75" x14ac:dyDescent="0.25">
      <c r="A24" s="6"/>
      <c r="B24" s="90"/>
      <c r="C24" s="91"/>
      <c r="D24" s="92"/>
      <c r="E24" s="93" t="s">
        <v>40</v>
      </c>
      <c r="F24" s="94">
        <v>3</v>
      </c>
      <c r="G24" s="95">
        <v>2</v>
      </c>
      <c r="H24" s="95">
        <v>2</v>
      </c>
      <c r="I24" s="95">
        <v>2</v>
      </c>
      <c r="J24" s="95">
        <v>3</v>
      </c>
      <c r="K24" s="95">
        <v>1</v>
      </c>
      <c r="L24" s="95">
        <v>1</v>
      </c>
      <c r="M24" s="95">
        <v>2</v>
      </c>
      <c r="N24" s="95">
        <v>2</v>
      </c>
      <c r="O24" s="95">
        <v>2</v>
      </c>
      <c r="P24" s="95">
        <v>2</v>
      </c>
      <c r="Q24" s="95">
        <v>2</v>
      </c>
      <c r="R24" s="95">
        <v>2</v>
      </c>
      <c r="S24" s="95">
        <v>1</v>
      </c>
      <c r="T24" s="95">
        <v>2</v>
      </c>
      <c r="U24" s="95">
        <v>2</v>
      </c>
      <c r="V24" s="95">
        <v>2</v>
      </c>
      <c r="W24" s="95">
        <v>3</v>
      </c>
      <c r="X24" s="95">
        <v>2</v>
      </c>
      <c r="Y24" s="95">
        <v>2</v>
      </c>
      <c r="Z24" s="95">
        <v>1</v>
      </c>
      <c r="AA24" s="95">
        <v>2</v>
      </c>
      <c r="AB24" s="95">
        <v>2</v>
      </c>
      <c r="AC24" s="95">
        <v>2</v>
      </c>
      <c r="AD24" s="95">
        <v>2</v>
      </c>
      <c r="AE24" s="95">
        <v>2</v>
      </c>
      <c r="AF24" s="95">
        <v>2</v>
      </c>
      <c r="AG24" s="95">
        <v>1</v>
      </c>
      <c r="AH24" s="95">
        <v>2</v>
      </c>
      <c r="AI24" s="95">
        <v>2</v>
      </c>
      <c r="AJ24" s="96"/>
      <c r="AK24" s="96"/>
      <c r="AL24" s="96"/>
      <c r="AM24" s="96"/>
      <c r="AN24" s="96"/>
      <c r="AO24" s="6"/>
    </row>
    <row r="25" spans="1:41" s="13" customFormat="1" ht="15.75" x14ac:dyDescent="0.25">
      <c r="A25" s="6"/>
      <c r="B25" s="97"/>
      <c r="C25" s="98"/>
      <c r="D25" s="99"/>
      <c r="E25" s="100" t="s">
        <v>41</v>
      </c>
      <c r="F25" s="100">
        <f t="shared" ref="F25:AG25" si="0">COUNTIF(F14:F24,"B")</f>
        <v>1</v>
      </c>
      <c r="G25" s="100">
        <f t="shared" si="0"/>
        <v>1</v>
      </c>
      <c r="H25" s="100">
        <f t="shared" si="0"/>
        <v>1</v>
      </c>
      <c r="I25" s="100">
        <f t="shared" si="0"/>
        <v>1</v>
      </c>
      <c r="J25" s="100">
        <f t="shared" si="0"/>
        <v>1</v>
      </c>
      <c r="K25" s="100">
        <f t="shared" si="0"/>
        <v>1</v>
      </c>
      <c r="L25" s="100">
        <f t="shared" si="0"/>
        <v>1</v>
      </c>
      <c r="M25" s="100">
        <f t="shared" si="0"/>
        <v>1</v>
      </c>
      <c r="N25" s="100">
        <f t="shared" si="0"/>
        <v>1</v>
      </c>
      <c r="O25" s="100">
        <f t="shared" si="0"/>
        <v>1</v>
      </c>
      <c r="P25" s="100">
        <f t="shared" si="0"/>
        <v>1</v>
      </c>
      <c r="Q25" s="100">
        <f t="shared" si="0"/>
        <v>1</v>
      </c>
      <c r="R25" s="100">
        <f t="shared" si="0"/>
        <v>1</v>
      </c>
      <c r="S25" s="100">
        <f t="shared" si="0"/>
        <v>1</v>
      </c>
      <c r="T25" s="100">
        <f t="shared" si="0"/>
        <v>1</v>
      </c>
      <c r="U25" s="100">
        <f t="shared" si="0"/>
        <v>1</v>
      </c>
      <c r="V25" s="100">
        <f t="shared" si="0"/>
        <v>1</v>
      </c>
      <c r="W25" s="100">
        <f t="shared" si="0"/>
        <v>1</v>
      </c>
      <c r="X25" s="100">
        <f t="shared" si="0"/>
        <v>1</v>
      </c>
      <c r="Y25" s="100">
        <f t="shared" si="0"/>
        <v>1</v>
      </c>
      <c r="Z25" s="100">
        <f t="shared" si="0"/>
        <v>1</v>
      </c>
      <c r="AA25" s="100">
        <f t="shared" si="0"/>
        <v>1</v>
      </c>
      <c r="AB25" s="100">
        <f t="shared" si="0"/>
        <v>1</v>
      </c>
      <c r="AC25" s="100">
        <f t="shared" si="0"/>
        <v>1</v>
      </c>
      <c r="AD25" s="100">
        <f t="shared" si="0"/>
        <v>1</v>
      </c>
      <c r="AE25" s="100">
        <f t="shared" si="0"/>
        <v>1</v>
      </c>
      <c r="AF25" s="100">
        <f t="shared" si="0"/>
        <v>1</v>
      </c>
      <c r="AG25" s="100">
        <f t="shared" si="0"/>
        <v>1</v>
      </c>
      <c r="AH25" s="100">
        <v>1</v>
      </c>
      <c r="AI25" s="100">
        <v>1</v>
      </c>
      <c r="AJ25" s="101"/>
      <c r="AK25" s="101"/>
      <c r="AL25" s="101"/>
      <c r="AM25" s="101"/>
      <c r="AN25" s="101"/>
      <c r="AO25" s="6"/>
    </row>
    <row r="26" spans="1:41" s="13" customFormat="1" ht="15.75" x14ac:dyDescent="0.25">
      <c r="A26" s="6"/>
      <c r="B26" s="97"/>
      <c r="C26" s="98"/>
      <c r="D26" s="99"/>
      <c r="E26" s="102" t="s">
        <v>35</v>
      </c>
      <c r="F26" s="102">
        <f t="shared" ref="F26:AB26" si="1">COUNTIF(F14:F25,"C")</f>
        <v>1</v>
      </c>
      <c r="G26" s="102">
        <f t="shared" si="1"/>
        <v>1</v>
      </c>
      <c r="H26" s="102">
        <f t="shared" si="1"/>
        <v>1</v>
      </c>
      <c r="I26" s="102">
        <f t="shared" si="1"/>
        <v>1</v>
      </c>
      <c r="J26" s="102">
        <f t="shared" si="1"/>
        <v>1</v>
      </c>
      <c r="K26" s="102">
        <f t="shared" si="1"/>
        <v>1</v>
      </c>
      <c r="L26" s="102">
        <f t="shared" si="1"/>
        <v>1</v>
      </c>
      <c r="M26" s="102">
        <f t="shared" si="1"/>
        <v>1</v>
      </c>
      <c r="N26" s="102">
        <f t="shared" si="1"/>
        <v>1</v>
      </c>
      <c r="O26" s="102">
        <f t="shared" si="1"/>
        <v>1</v>
      </c>
      <c r="P26" s="102">
        <f t="shared" si="1"/>
        <v>1</v>
      </c>
      <c r="Q26" s="102">
        <f t="shared" si="1"/>
        <v>1</v>
      </c>
      <c r="R26" s="102">
        <f t="shared" si="1"/>
        <v>1</v>
      </c>
      <c r="S26" s="102">
        <f t="shared" si="1"/>
        <v>1</v>
      </c>
      <c r="T26" s="102">
        <f t="shared" si="1"/>
        <v>1</v>
      </c>
      <c r="U26" s="102">
        <f t="shared" si="1"/>
        <v>1</v>
      </c>
      <c r="V26" s="102">
        <f t="shared" si="1"/>
        <v>1</v>
      </c>
      <c r="W26" s="102">
        <f t="shared" si="1"/>
        <v>1</v>
      </c>
      <c r="X26" s="102">
        <f t="shared" si="1"/>
        <v>1</v>
      </c>
      <c r="Y26" s="102">
        <f t="shared" si="1"/>
        <v>1</v>
      </c>
      <c r="Z26" s="102">
        <f t="shared" si="1"/>
        <v>1</v>
      </c>
      <c r="AA26" s="102">
        <f t="shared" si="1"/>
        <v>1</v>
      </c>
      <c r="AB26" s="102">
        <f t="shared" si="1"/>
        <v>1</v>
      </c>
      <c r="AC26" s="102">
        <v>1</v>
      </c>
      <c r="AD26" s="102">
        <f t="shared" ref="AD26:AI26" si="2">COUNTIF(AD14:AD25,"C")</f>
        <v>1</v>
      </c>
      <c r="AE26" s="102">
        <f t="shared" si="2"/>
        <v>1</v>
      </c>
      <c r="AF26" s="102">
        <f t="shared" si="2"/>
        <v>1</v>
      </c>
      <c r="AG26" s="102">
        <f t="shared" si="2"/>
        <v>1</v>
      </c>
      <c r="AH26" s="102">
        <v>1</v>
      </c>
      <c r="AI26" s="102">
        <f t="shared" si="2"/>
        <v>1</v>
      </c>
      <c r="AJ26" s="101"/>
      <c r="AK26" s="101"/>
      <c r="AL26" s="101"/>
      <c r="AM26" s="101"/>
      <c r="AN26" s="101"/>
      <c r="AO26" s="6"/>
    </row>
    <row r="27" spans="1:41" s="13" customFormat="1" ht="13.5" thickBot="1" x14ac:dyDescent="0.25">
      <c r="A27" s="6"/>
      <c r="B27" s="97"/>
      <c r="C27" s="98"/>
      <c r="D27" s="99"/>
      <c r="E27" s="103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1"/>
      <c r="AK27" s="101"/>
      <c r="AL27" s="101"/>
      <c r="AM27" s="101"/>
      <c r="AN27" s="101"/>
      <c r="AO27" s="6"/>
    </row>
    <row r="28" spans="1:41" s="13" customFormat="1" ht="17.25" customHeight="1" x14ac:dyDescent="0.2">
      <c r="A28" s="6"/>
      <c r="B28" s="105"/>
      <c r="C28" s="106"/>
      <c r="D28" s="107"/>
      <c r="E28" s="107"/>
      <c r="F28" s="107"/>
      <c r="G28" s="107"/>
      <c r="H28" s="107"/>
      <c r="I28" s="108"/>
      <c r="J28" s="108"/>
      <c r="K28" s="108" t="s">
        <v>42</v>
      </c>
      <c r="L28" s="108"/>
      <c r="M28" s="108"/>
      <c r="N28" s="108"/>
      <c r="O28" s="108"/>
      <c r="P28" s="108"/>
      <c r="Q28" s="108"/>
      <c r="R28" s="108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9"/>
      <c r="AJ28" s="107"/>
      <c r="AK28" s="107"/>
      <c r="AL28" s="107"/>
      <c r="AM28" s="107"/>
      <c r="AN28" s="106"/>
      <c r="AO28" s="110" t="s">
        <v>21</v>
      </c>
    </row>
    <row r="29" spans="1:41" s="13" customFormat="1" ht="21" customHeight="1" thickBot="1" x14ac:dyDescent="0.4">
      <c r="A29" s="6"/>
      <c r="B29" s="111">
        <v>1</v>
      </c>
      <c r="C29" s="357" t="s">
        <v>43</v>
      </c>
      <c r="D29" s="358" t="s">
        <v>44</v>
      </c>
      <c r="E29" s="359"/>
      <c r="F29" s="49" t="s">
        <v>23</v>
      </c>
      <c r="G29" s="34" t="s">
        <v>23</v>
      </c>
      <c r="H29" s="34" t="s">
        <v>23</v>
      </c>
      <c r="I29" s="34" t="s">
        <v>23</v>
      </c>
      <c r="J29" s="34" t="s">
        <v>23</v>
      </c>
      <c r="K29" s="35" t="s">
        <v>99</v>
      </c>
      <c r="L29" s="35" t="s">
        <v>17</v>
      </c>
      <c r="M29" s="34" t="s">
        <v>23</v>
      </c>
      <c r="N29" s="34" t="s">
        <v>23</v>
      </c>
      <c r="O29" s="34" t="s">
        <v>23</v>
      </c>
      <c r="P29" s="34"/>
      <c r="Q29" s="34"/>
      <c r="R29" s="60"/>
      <c r="S29" s="60"/>
      <c r="T29" s="34"/>
      <c r="U29" s="50"/>
      <c r="V29" s="50"/>
      <c r="W29" s="34"/>
      <c r="X29" s="34"/>
      <c r="Y29" s="60"/>
      <c r="Z29" s="60"/>
      <c r="AA29" s="34"/>
      <c r="AB29" s="50"/>
      <c r="AC29" s="50"/>
      <c r="AD29" s="34"/>
      <c r="AE29" s="34"/>
      <c r="AF29" s="60"/>
      <c r="AG29" s="60"/>
      <c r="AH29" s="34"/>
      <c r="AI29" s="50"/>
      <c r="AJ29" s="112">
        <v>8</v>
      </c>
      <c r="AK29" s="112">
        <v>0</v>
      </c>
      <c r="AL29" s="112">
        <v>0</v>
      </c>
      <c r="AM29" s="112">
        <v>2</v>
      </c>
      <c r="AN29" s="113"/>
      <c r="AO29" s="89" t="s">
        <v>45</v>
      </c>
    </row>
    <row r="30" spans="1:41" s="13" customFormat="1" ht="20.25" customHeight="1" thickBot="1" x14ac:dyDescent="0.25">
      <c r="A30" s="6"/>
      <c r="B30" s="114">
        <v>2</v>
      </c>
      <c r="C30" s="115"/>
      <c r="D30" s="116"/>
      <c r="E30" s="117"/>
      <c r="F30" s="122"/>
      <c r="G30" s="314"/>
      <c r="H30" s="314"/>
      <c r="I30" s="118"/>
      <c r="J30" s="119"/>
      <c r="K30" s="123"/>
      <c r="L30" s="123"/>
      <c r="M30" s="120"/>
      <c r="N30" s="121"/>
      <c r="O30" s="315"/>
      <c r="P30" s="121"/>
      <c r="Q30" s="119"/>
      <c r="R30" s="316"/>
      <c r="S30" s="317"/>
      <c r="T30" s="122"/>
      <c r="U30" s="120"/>
      <c r="V30" s="314"/>
      <c r="W30" s="124"/>
      <c r="X30" s="124"/>
      <c r="Y30" s="316"/>
      <c r="Z30" s="317"/>
      <c r="AA30" s="119"/>
      <c r="AB30" s="118"/>
      <c r="AC30" s="118"/>
      <c r="AD30" s="121"/>
      <c r="AE30" s="119"/>
      <c r="AF30" s="317"/>
      <c r="AG30" s="316"/>
      <c r="AH30" s="122"/>
      <c r="AI30" s="120"/>
      <c r="AJ30" s="125"/>
      <c r="AK30" s="125"/>
      <c r="AL30" s="125"/>
      <c r="AM30" s="125"/>
      <c r="AN30" s="125"/>
      <c r="AO30" s="126"/>
    </row>
    <row r="31" spans="1:41" s="13" customFormat="1" ht="21" x14ac:dyDescent="0.35">
      <c r="A31" s="6"/>
      <c r="B31" s="7"/>
      <c r="C31" s="8"/>
      <c r="D31" s="129" t="s">
        <v>189</v>
      </c>
      <c r="E31" s="129"/>
      <c r="F31" s="127"/>
      <c r="G31" s="128"/>
      <c r="H31" s="129"/>
      <c r="I31" s="129"/>
      <c r="J31" s="128"/>
      <c r="K31" s="129"/>
      <c r="L31" s="129"/>
      <c r="M31" s="129"/>
      <c r="N31" s="129"/>
      <c r="O31" s="128"/>
      <c r="P31" s="129"/>
      <c r="Q31" s="128"/>
      <c r="R31" s="128"/>
      <c r="S31" s="129"/>
      <c r="T31" s="129"/>
      <c r="U31" s="129"/>
      <c r="V31" s="129"/>
      <c r="W31" s="129"/>
      <c r="X31" s="129"/>
      <c r="Y31" s="128"/>
      <c r="Z31" s="6"/>
      <c r="AA31" s="6"/>
      <c r="AB31" s="130"/>
      <c r="AC31" s="6"/>
      <c r="AD31" s="6"/>
      <c r="AE31" s="6"/>
      <c r="AF31" s="6"/>
      <c r="AG31" s="131"/>
      <c r="AH31" s="131"/>
      <c r="AI31" s="131"/>
      <c r="AJ31" s="7"/>
      <c r="AK31" s="7"/>
      <c r="AL31" s="7"/>
      <c r="AM31" s="7"/>
      <c r="AN31" s="7"/>
      <c r="AO31" s="6"/>
    </row>
    <row r="32" spans="1:41" s="13" customFormat="1" ht="18.75" customHeight="1" x14ac:dyDescent="0.35">
      <c r="A32" s="6"/>
      <c r="B32" s="7"/>
      <c r="C32" s="8"/>
      <c r="D32" s="623" t="s">
        <v>184</v>
      </c>
      <c r="E32" s="6"/>
      <c r="F32" s="6"/>
      <c r="G32" s="7"/>
      <c r="H32" s="129"/>
      <c r="I32" s="129"/>
      <c r="J32" s="128"/>
      <c r="K32" s="129"/>
      <c r="L32" s="129"/>
      <c r="M32" s="129"/>
      <c r="N32" s="129"/>
      <c r="O32" s="128"/>
      <c r="P32" s="129"/>
      <c r="Q32" s="128"/>
      <c r="R32" s="128"/>
      <c r="S32" s="129"/>
      <c r="T32" s="129"/>
      <c r="U32" s="6"/>
      <c r="V32" s="6"/>
      <c r="W32" s="6"/>
      <c r="X32" s="6"/>
      <c r="Y32" s="7"/>
      <c r="Z32" s="6"/>
      <c r="AA32" s="6"/>
      <c r="AB32" s="130"/>
      <c r="AC32" s="6"/>
      <c r="AD32" s="6"/>
      <c r="AE32" s="6"/>
      <c r="AF32" s="6"/>
      <c r="AG32" s="6"/>
      <c r="AH32" s="6"/>
      <c r="AI32" s="6"/>
      <c r="AJ32" s="7"/>
      <c r="AK32" s="7"/>
      <c r="AL32" s="7"/>
      <c r="AM32" s="7"/>
      <c r="AN32" s="7"/>
      <c r="AO32" s="132"/>
    </row>
    <row r="33" spans="1:42" s="13" customFormat="1" ht="18.75" customHeight="1" x14ac:dyDescent="0.2">
      <c r="A33" s="6"/>
      <c r="B33" s="7"/>
      <c r="C33" s="8"/>
      <c r="D33" s="6"/>
      <c r="E33" s="6"/>
      <c r="F33" s="6"/>
      <c r="G33" s="7"/>
      <c r="H33" s="6"/>
      <c r="I33" s="6"/>
      <c r="J33" s="7"/>
      <c r="K33" s="6"/>
      <c r="L33" s="6"/>
      <c r="M33" s="6"/>
      <c r="N33" s="6"/>
      <c r="O33" s="7"/>
      <c r="P33" s="6"/>
      <c r="Q33" s="7"/>
      <c r="R33" s="7"/>
      <c r="S33" s="6"/>
      <c r="T33" s="6"/>
      <c r="U33" s="6"/>
      <c r="V33" s="6"/>
      <c r="W33" s="133"/>
      <c r="X33" s="6"/>
      <c r="Y33" s="7"/>
      <c r="Z33" s="6"/>
      <c r="AA33" s="6"/>
      <c r="AB33" s="130"/>
      <c r="AC33" s="6"/>
      <c r="AD33" s="6"/>
      <c r="AE33" s="6"/>
      <c r="AF33" s="6"/>
      <c r="AG33" s="6"/>
      <c r="AH33" s="6"/>
      <c r="AI33" s="6"/>
      <c r="AJ33" s="7"/>
      <c r="AK33" s="7"/>
      <c r="AL33" s="7"/>
      <c r="AM33" s="7"/>
      <c r="AN33" s="134"/>
      <c r="AO33" s="135" t="s">
        <v>46</v>
      </c>
    </row>
    <row r="34" spans="1:42" s="13" customFormat="1" ht="18.75" customHeight="1" x14ac:dyDescent="0.2">
      <c r="A34" s="6"/>
      <c r="B34" s="7"/>
      <c r="C34" s="8"/>
      <c r="D34" s="6"/>
      <c r="E34" s="6"/>
      <c r="F34" s="6"/>
      <c r="G34" s="7"/>
      <c r="H34" s="6"/>
      <c r="I34" s="6"/>
      <c r="J34" s="7"/>
      <c r="K34" s="6"/>
      <c r="L34" s="6"/>
      <c r="M34" s="6"/>
      <c r="N34" s="6"/>
      <c r="O34" s="7"/>
      <c r="P34" s="6"/>
      <c r="Q34" s="7"/>
      <c r="R34" s="7"/>
      <c r="S34" s="6"/>
      <c r="T34" s="6"/>
      <c r="U34" s="6"/>
      <c r="V34" s="6"/>
      <c r="W34" s="133"/>
      <c r="X34" s="6"/>
      <c r="Y34" s="7"/>
      <c r="Z34" s="6"/>
      <c r="AA34" s="6"/>
      <c r="AB34" s="130"/>
      <c r="AC34" s="6"/>
      <c r="AD34" s="6"/>
      <c r="AE34" s="6"/>
      <c r="AF34" s="6"/>
      <c r="AG34" s="6"/>
      <c r="AH34" s="6"/>
      <c r="AI34" s="6"/>
      <c r="AJ34" s="7"/>
      <c r="AK34" s="7"/>
      <c r="AL34" s="7"/>
      <c r="AM34" s="7"/>
      <c r="AN34" s="335"/>
      <c r="AO34" s="135"/>
    </row>
    <row r="35" spans="1:42" s="13" customFormat="1" ht="18.75" customHeight="1" x14ac:dyDescent="0.2">
      <c r="A35" s="6"/>
      <c r="B35" s="7"/>
      <c r="C35" s="8"/>
      <c r="D35" s="6"/>
      <c r="E35" s="6"/>
      <c r="F35" s="6"/>
      <c r="G35" s="7"/>
      <c r="H35" s="6"/>
      <c r="I35" s="6"/>
      <c r="J35" s="7"/>
      <c r="K35" s="6"/>
      <c r="L35" s="6"/>
      <c r="M35" s="6"/>
      <c r="N35" s="6"/>
      <c r="O35" s="7"/>
      <c r="P35" s="6"/>
      <c r="Q35" s="7"/>
      <c r="R35" s="7"/>
      <c r="S35" s="6"/>
      <c r="T35" s="6"/>
      <c r="U35" s="6"/>
      <c r="V35" s="6"/>
      <c r="W35" s="133"/>
      <c r="X35" s="6"/>
      <c r="Y35" s="7"/>
      <c r="Z35" s="6"/>
      <c r="AA35" s="6"/>
      <c r="AB35" s="130"/>
      <c r="AC35" s="6"/>
      <c r="AD35" s="6"/>
      <c r="AE35" s="6"/>
      <c r="AF35" s="6"/>
      <c r="AG35" s="6"/>
      <c r="AH35" s="6"/>
      <c r="AI35" s="6"/>
      <c r="AJ35" s="7"/>
      <c r="AK35" s="7"/>
      <c r="AL35" s="7"/>
      <c r="AM35" s="7"/>
      <c r="AN35" s="335"/>
      <c r="AO35" s="135"/>
    </row>
    <row r="36" spans="1:42" ht="21" x14ac:dyDescent="0.35">
      <c r="A36" s="1"/>
      <c r="B36" s="2"/>
      <c r="C36" s="136" t="s">
        <v>47</v>
      </c>
      <c r="D36" s="1"/>
      <c r="E36" s="136" t="s">
        <v>48</v>
      </c>
      <c r="F36" s="136"/>
      <c r="G36" s="137"/>
      <c r="H36" s="137"/>
      <c r="I36" s="137"/>
      <c r="J36" s="137"/>
      <c r="K36" s="137"/>
      <c r="L36" s="137"/>
      <c r="M36" s="137"/>
      <c r="N36" s="136" t="s">
        <v>49</v>
      </c>
      <c r="O36" s="136"/>
      <c r="P36" s="136"/>
      <c r="Q36" s="136"/>
      <c r="R36" s="136"/>
      <c r="S36" s="136"/>
      <c r="T36" s="136"/>
      <c r="U36" s="136"/>
      <c r="V36" s="1"/>
      <c r="W36" s="136" t="s">
        <v>47</v>
      </c>
      <c r="X36" s="136"/>
      <c r="Y36" s="136"/>
      <c r="Z36" s="136"/>
      <c r="AA36" s="136"/>
      <c r="AB36" s="136"/>
      <c r="AC36" s="136"/>
      <c r="AD36" s="136"/>
      <c r="AE36" s="1"/>
      <c r="AF36" s="1"/>
      <c r="AG36" s="136" t="s">
        <v>47</v>
      </c>
      <c r="AH36" s="136"/>
      <c r="AI36" s="138"/>
      <c r="AJ36" s="139"/>
      <c r="AK36" s="1"/>
      <c r="AL36" s="1"/>
      <c r="AM36" s="1"/>
      <c r="AN36" s="1"/>
      <c r="AO36" s="1"/>
    </row>
    <row r="37" spans="1:42" s="147" customFormat="1" x14ac:dyDescent="0.25">
      <c r="A37" s="140"/>
      <c r="B37" s="141"/>
      <c r="C37" s="142" t="s">
        <v>50</v>
      </c>
      <c r="D37" s="143"/>
      <c r="E37" s="142" t="s">
        <v>51</v>
      </c>
      <c r="F37" s="142"/>
      <c r="G37" s="144"/>
      <c r="H37" s="144"/>
      <c r="I37" s="144"/>
      <c r="J37" s="144"/>
      <c r="K37" s="144"/>
      <c r="L37" s="144"/>
      <c r="M37" s="144"/>
      <c r="N37" s="142" t="s">
        <v>52</v>
      </c>
      <c r="O37" s="142"/>
      <c r="P37" s="142"/>
      <c r="Q37" s="142"/>
      <c r="R37" s="142"/>
      <c r="S37" s="142"/>
      <c r="T37" s="142"/>
      <c r="U37" s="142"/>
      <c r="V37" s="143"/>
      <c r="W37" s="142" t="s">
        <v>53</v>
      </c>
      <c r="X37" s="142"/>
      <c r="Y37" s="142"/>
      <c r="Z37" s="142"/>
      <c r="AA37" s="142"/>
      <c r="AB37" s="142"/>
      <c r="AC37" s="142"/>
      <c r="AD37" s="142"/>
      <c r="AE37" s="143"/>
      <c r="AF37" s="143"/>
      <c r="AG37" s="145" t="s">
        <v>54</v>
      </c>
      <c r="AH37" s="145"/>
      <c r="AI37" s="142"/>
      <c r="AJ37" s="146"/>
      <c r="AK37" s="143"/>
      <c r="AL37" s="143"/>
      <c r="AM37" s="140"/>
      <c r="AN37" s="143"/>
      <c r="AO37" s="144" t="s">
        <v>55</v>
      </c>
      <c r="AP37" s="144"/>
    </row>
    <row r="38" spans="1:42" s="147" customFormat="1" x14ac:dyDescent="0.25">
      <c r="A38" s="140"/>
      <c r="B38" s="141"/>
      <c r="C38" s="142" t="s">
        <v>56</v>
      </c>
      <c r="D38" s="143"/>
      <c r="E38" s="142" t="s">
        <v>57</v>
      </c>
      <c r="F38" s="142"/>
      <c r="G38" s="144"/>
      <c r="H38" s="144"/>
      <c r="I38" s="144"/>
      <c r="J38" s="144"/>
      <c r="K38" s="144"/>
      <c r="L38" s="144"/>
      <c r="M38" s="144"/>
      <c r="N38" s="142" t="s">
        <v>58</v>
      </c>
      <c r="O38" s="142"/>
      <c r="P38" s="142"/>
      <c r="Q38" s="142"/>
      <c r="R38" s="142"/>
      <c r="S38" s="142"/>
      <c r="T38" s="142"/>
      <c r="U38" s="142"/>
      <c r="V38" s="143"/>
      <c r="W38" s="142" t="s">
        <v>59</v>
      </c>
      <c r="X38" s="142"/>
      <c r="Y38" s="142"/>
      <c r="Z38" s="142"/>
      <c r="AA38" s="142"/>
      <c r="AB38" s="142"/>
      <c r="AC38" s="142"/>
      <c r="AD38" s="142"/>
      <c r="AE38" s="143"/>
      <c r="AF38" s="143"/>
      <c r="AG38" s="145" t="s">
        <v>60</v>
      </c>
      <c r="AH38" s="145"/>
      <c r="AI38" s="142"/>
      <c r="AJ38" s="148"/>
      <c r="AK38" s="143"/>
      <c r="AL38" s="143"/>
      <c r="AM38" s="140"/>
      <c r="AN38" s="143"/>
      <c r="AO38" s="144" t="s">
        <v>61</v>
      </c>
      <c r="AP38" s="144"/>
    </row>
    <row r="39" spans="1:42" s="147" customFormat="1" ht="14.25" x14ac:dyDescent="0.2">
      <c r="A39" s="140"/>
      <c r="B39" s="141"/>
      <c r="C39" s="149"/>
      <c r="D39" s="150"/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3"/>
      <c r="AN39" s="143"/>
      <c r="AO39" s="144"/>
      <c r="AP39" s="144"/>
    </row>
    <row r="40" spans="1:42" x14ac:dyDescent="0.25">
      <c r="A40" s="1"/>
      <c r="B40" s="2"/>
      <c r="C40" s="1"/>
      <c r="D40" s="1"/>
      <c r="E40" s="1"/>
      <c r="F40" s="1"/>
      <c r="G40" s="2"/>
      <c r="H40" s="1"/>
      <c r="I40" s="1"/>
      <c r="J40" s="2"/>
      <c r="K40" s="1"/>
      <c r="L40" s="1"/>
      <c r="M40" s="1"/>
      <c r="N40" s="1"/>
      <c r="O40" s="2"/>
      <c r="P40" s="1"/>
      <c r="Q40" s="2"/>
      <c r="R40" s="2"/>
      <c r="S40" s="1"/>
      <c r="T40" s="1"/>
      <c r="U40" s="1"/>
      <c r="V40" s="1"/>
      <c r="W40" s="1"/>
      <c r="X40" s="1"/>
      <c r="Y40" s="2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2"/>
      <c r="AK40" s="2"/>
      <c r="AL40" s="2"/>
      <c r="AM40" s="2"/>
      <c r="AN40" s="143"/>
      <c r="AO40" s="144" t="s">
        <v>62</v>
      </c>
      <c r="AP40" s="144"/>
    </row>
    <row r="41" spans="1:42" x14ac:dyDescent="0.25">
      <c r="A41" s="1"/>
      <c r="B41" s="2"/>
      <c r="C41" s="1"/>
      <c r="D41" s="1"/>
      <c r="E41" s="1"/>
      <c r="F41" s="1"/>
      <c r="G41" s="2"/>
      <c r="H41" s="1"/>
      <c r="I41" s="1"/>
      <c r="J41" s="2"/>
      <c r="K41" s="1"/>
      <c r="L41" s="1"/>
      <c r="M41" s="1"/>
      <c r="N41" s="1"/>
      <c r="O41" s="2"/>
      <c r="P41" s="1"/>
      <c r="Q41" s="2"/>
      <c r="R41" s="2"/>
      <c r="S41" s="1"/>
      <c r="T41" s="1"/>
      <c r="U41" s="1"/>
      <c r="V41" s="1"/>
      <c r="W41" s="1"/>
      <c r="X41" s="1"/>
      <c r="Y41" s="2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2"/>
      <c r="AK41" s="2"/>
      <c r="AL41" s="2"/>
      <c r="AM41" s="2"/>
      <c r="AO41" s="144"/>
      <c r="AP41" s="144"/>
    </row>
    <row r="42" spans="1:42" ht="20.25" x14ac:dyDescent="0.3">
      <c r="A42" s="1"/>
      <c r="B42" s="2"/>
      <c r="C42" s="3"/>
      <c r="D42" s="1"/>
      <c r="E42" s="1"/>
      <c r="F42" s="1"/>
      <c r="G42" s="2"/>
      <c r="H42" s="1"/>
      <c r="I42" s="1"/>
      <c r="J42" s="2"/>
      <c r="K42" s="1"/>
      <c r="L42" s="1"/>
      <c r="M42" s="1"/>
      <c r="N42" s="1"/>
      <c r="O42" s="2"/>
      <c r="P42" s="1"/>
      <c r="Q42" s="2"/>
      <c r="R42" s="2"/>
      <c r="S42" s="1"/>
      <c r="T42" s="1"/>
      <c r="U42" s="1"/>
      <c r="V42" s="1"/>
      <c r="W42" s="1"/>
      <c r="X42" s="1"/>
      <c r="Y42" s="2"/>
      <c r="Z42" s="1"/>
      <c r="AA42" s="1"/>
      <c r="AB42" s="1"/>
      <c r="AC42" s="1"/>
      <c r="AD42" s="1"/>
      <c r="AE42" s="1"/>
      <c r="AF42" s="136"/>
      <c r="AG42" s="136"/>
      <c r="AH42" s="136"/>
      <c r="AI42" s="137"/>
      <c r="AJ42" s="2"/>
      <c r="AK42" s="2"/>
      <c r="AL42" s="2"/>
      <c r="AM42" s="2"/>
      <c r="AN42" s="143"/>
      <c r="AO42" s="154" t="s">
        <v>63</v>
      </c>
      <c r="AP42" s="144"/>
    </row>
    <row r="43" spans="1:42" ht="20.25" x14ac:dyDescent="0.3">
      <c r="A43" s="1"/>
      <c r="B43" s="2"/>
      <c r="C43" s="3"/>
      <c r="D43" s="1"/>
      <c r="E43" s="1"/>
      <c r="F43" s="1"/>
      <c r="G43" s="2"/>
      <c r="H43" s="1"/>
      <c r="I43" s="1"/>
      <c r="J43" s="2"/>
      <c r="K43" s="1"/>
      <c r="L43" s="1"/>
      <c r="M43" s="1"/>
      <c r="N43" s="1"/>
      <c r="O43" s="2"/>
      <c r="P43" s="1"/>
      <c r="Q43" s="2"/>
      <c r="R43" s="2"/>
      <c r="S43" s="1"/>
      <c r="T43" s="1"/>
      <c r="U43" s="1"/>
      <c r="V43" s="1"/>
      <c r="W43" s="1"/>
      <c r="X43" s="1"/>
      <c r="Y43" s="2"/>
      <c r="Z43" s="1"/>
      <c r="AA43" s="1"/>
      <c r="AB43" s="1"/>
      <c r="AC43" s="1"/>
      <c r="AD43" s="1"/>
      <c r="AE43" s="1"/>
      <c r="AF43" s="136"/>
      <c r="AG43" s="136"/>
      <c r="AH43" s="136"/>
      <c r="AI43" s="137"/>
      <c r="AJ43" s="2"/>
      <c r="AK43" s="2"/>
      <c r="AL43" s="2"/>
      <c r="AM43" s="2"/>
      <c r="AN43" s="143" t="s">
        <v>64</v>
      </c>
      <c r="AO43" s="144" t="s">
        <v>65</v>
      </c>
      <c r="AP43" s="144"/>
    </row>
    <row r="44" spans="1:42" ht="21" x14ac:dyDescent="0.35">
      <c r="A44" s="1"/>
      <c r="B44" s="2"/>
      <c r="C44" s="3"/>
      <c r="D44" s="155"/>
      <c r="E44" s="155"/>
      <c r="F44" s="155"/>
      <c r="G44" s="156"/>
      <c r="H44" s="155"/>
      <c r="I44" s="155"/>
      <c r="J44" s="156"/>
      <c r="K44" s="155"/>
      <c r="L44" s="155"/>
      <c r="M44" s="155"/>
      <c r="N44" s="155"/>
      <c r="O44" s="156"/>
      <c r="P44" s="155"/>
      <c r="Q44" s="156"/>
      <c r="R44" s="156"/>
      <c r="S44" s="155"/>
      <c r="T44" s="155"/>
      <c r="U44" s="155"/>
      <c r="V44" s="155"/>
      <c r="W44" s="155"/>
      <c r="X44" s="155"/>
      <c r="Y44" s="156"/>
      <c r="Z44" s="155"/>
      <c r="AA44" s="155"/>
      <c r="AB44" s="155"/>
      <c r="AC44" s="155"/>
      <c r="AD44" s="155"/>
      <c r="AE44" s="155"/>
      <c r="AF44" s="136"/>
      <c r="AG44" s="136"/>
      <c r="AH44" s="136"/>
      <c r="AI44" s="137"/>
      <c r="AJ44" s="156"/>
      <c r="AK44" s="156"/>
      <c r="AL44" s="156"/>
      <c r="AM44" s="156"/>
      <c r="AP44" s="144"/>
    </row>
    <row r="45" spans="1:42" ht="15" customHeight="1" x14ac:dyDescent="0.25">
      <c r="A45" s="1"/>
      <c r="B45" s="2"/>
      <c r="C45" s="3"/>
      <c r="D45" s="1"/>
      <c r="E45" s="1"/>
      <c r="F45" s="1"/>
      <c r="G45" s="2"/>
      <c r="H45" s="1"/>
      <c r="I45" s="1"/>
      <c r="J45" s="2"/>
      <c r="K45" s="1"/>
      <c r="L45" s="1"/>
      <c r="M45" s="1"/>
      <c r="N45" s="1"/>
      <c r="O45" s="2"/>
      <c r="P45" s="1"/>
      <c r="Q45" s="2"/>
      <c r="R45" s="2"/>
      <c r="S45" s="1"/>
      <c r="T45" s="1"/>
      <c r="U45" s="1"/>
      <c r="V45" s="1"/>
      <c r="W45" s="1"/>
      <c r="X45" s="1"/>
      <c r="Y45" s="2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2"/>
      <c r="AK45" s="2"/>
      <c r="AL45" s="2"/>
      <c r="AM45" s="2"/>
      <c r="AN45" s="143"/>
      <c r="AO45" s="144"/>
      <c r="AP45" s="157"/>
    </row>
    <row r="46" spans="1:42" x14ac:dyDescent="0.25">
      <c r="A46" s="1"/>
      <c r="B46" s="2"/>
      <c r="C46" s="3"/>
      <c r="D46" s="1"/>
      <c r="E46" s="1"/>
      <c r="F46" s="1"/>
      <c r="G46" s="2"/>
      <c r="H46" s="1"/>
      <c r="I46" s="1"/>
      <c r="J46" s="2"/>
      <c r="K46" s="1"/>
      <c r="L46" s="1"/>
      <c r="M46" s="1"/>
      <c r="N46" s="1"/>
      <c r="O46" s="2"/>
      <c r="P46" s="1"/>
      <c r="Q46" s="2"/>
      <c r="R46" s="2"/>
      <c r="S46" s="1"/>
      <c r="T46" s="1"/>
      <c r="U46" s="1"/>
      <c r="V46" s="1"/>
      <c r="W46" s="1"/>
      <c r="X46" s="1"/>
      <c r="Y46" s="2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2"/>
      <c r="AK46" s="2"/>
      <c r="AL46" s="2"/>
      <c r="AM46" s="2"/>
      <c r="AN46" s="2"/>
      <c r="AO46" s="158"/>
      <c r="AP46" s="157"/>
    </row>
    <row r="47" spans="1:42" x14ac:dyDescent="0.25">
      <c r="A47" s="1"/>
      <c r="B47" s="2"/>
      <c r="C47" s="3"/>
      <c r="D47" s="1"/>
      <c r="E47" s="1"/>
      <c r="F47" s="1"/>
      <c r="G47" s="2"/>
      <c r="H47" s="1"/>
      <c r="I47" s="1"/>
      <c r="J47" s="2"/>
      <c r="K47" s="1"/>
      <c r="L47" s="1"/>
      <c r="M47" s="1"/>
      <c r="N47" s="1"/>
      <c r="O47" s="2"/>
      <c r="P47" s="1"/>
      <c r="Q47" s="2"/>
      <c r="R47" s="2"/>
      <c r="S47" s="1"/>
      <c r="T47" s="1"/>
      <c r="U47" s="1"/>
      <c r="V47" s="1"/>
      <c r="W47" s="1"/>
      <c r="X47" s="1"/>
      <c r="Y47" s="2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2"/>
      <c r="AK47" s="2"/>
      <c r="AL47" s="2"/>
      <c r="AM47" s="2"/>
      <c r="AN47" s="2"/>
      <c r="AO47" s="159"/>
      <c r="AP47" s="157"/>
    </row>
    <row r="48" spans="1:42" x14ac:dyDescent="0.25">
      <c r="A48" s="1"/>
      <c r="B48" s="2"/>
      <c r="C48" s="3"/>
      <c r="D48" s="1"/>
      <c r="E48" s="1"/>
      <c r="F48" s="1"/>
      <c r="G48" s="2"/>
      <c r="H48" s="1"/>
      <c r="I48" s="1"/>
      <c r="J48" s="2"/>
      <c r="K48" s="1"/>
      <c r="L48" s="1"/>
      <c r="M48" s="1"/>
      <c r="N48" s="1"/>
      <c r="O48" s="2"/>
      <c r="P48" s="1"/>
      <c r="Q48" s="2"/>
      <c r="R48" s="2"/>
      <c r="S48" s="1"/>
      <c r="T48" s="1"/>
      <c r="U48" s="1"/>
      <c r="V48" s="1"/>
      <c r="W48" s="1"/>
      <c r="X48" s="1"/>
      <c r="Y48" s="2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"/>
      <c r="AK48" s="2"/>
      <c r="AL48" s="2"/>
      <c r="AM48" s="2"/>
      <c r="AN48" s="2"/>
      <c r="AO48" s="158"/>
      <c r="AP48" s="157"/>
    </row>
    <row r="49" spans="41:42" x14ac:dyDescent="0.25">
      <c r="AO49" s="157"/>
      <c r="AP49" s="157"/>
    </row>
  </sheetData>
  <mergeCells count="18">
    <mergeCell ref="E2:AM2"/>
    <mergeCell ref="E3:AM3"/>
    <mergeCell ref="E4:AN4"/>
    <mergeCell ref="E5:I5"/>
    <mergeCell ref="J5:Q5"/>
    <mergeCell ref="Y5:AB5"/>
    <mergeCell ref="AC5:AI5"/>
    <mergeCell ref="E6:I6"/>
    <mergeCell ref="J6:Q6"/>
    <mergeCell ref="Y6:AB6"/>
    <mergeCell ref="AC6:AI6"/>
    <mergeCell ref="E7:I7"/>
    <mergeCell ref="J7:AI7"/>
    <mergeCell ref="B10:B11"/>
    <mergeCell ref="C10:C11"/>
    <mergeCell ref="D10:D11"/>
    <mergeCell ref="AJ10:AN10"/>
    <mergeCell ref="AO10:AO11"/>
  </mergeCells>
  <conditionalFormatting sqref="D16">
    <cfRule type="duplicateValues" dxfId="3" priority="3"/>
  </conditionalFormatting>
  <conditionalFormatting sqref="D23">
    <cfRule type="duplicateValues" dxfId="2" priority="2"/>
  </conditionalFormatting>
  <conditionalFormatting sqref="D22">
    <cfRule type="duplicateValues" dxfId="1" priority="1"/>
  </conditionalFormatting>
  <conditionalFormatting sqref="D17">
    <cfRule type="duplicateValues" dxfId="0" priority="15"/>
  </conditionalFormatting>
  <pageMargins left="0.23622047244094491" right="0.23622047244094491" top="0.74803149606299213" bottom="0.74803149606299213" header="0.31496062992125984" footer="0.31496062992125984"/>
  <pageSetup paperSize="5" scale="46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Licenciadas </vt:lpstr>
      <vt:lpstr>Auxiliares  </vt:lpstr>
      <vt:lpstr>HD</vt:lpstr>
      <vt:lpstr>Licenciadas  (2)</vt:lpstr>
      <vt:lpstr>HD!Área_de_impresión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Yenny Mendez</dc:creator>
  <cp:lastModifiedBy>Yenny Mendez</cp:lastModifiedBy>
  <cp:lastPrinted>2026-05-25T17:02:54Z</cp:lastPrinted>
  <dcterms:created xsi:type="dcterms:W3CDTF">2026-04-13T15:55:13Z</dcterms:created>
  <dcterms:modified xsi:type="dcterms:W3CDTF">2026-05-25T17:04:40Z</dcterms:modified>
</cp:coreProperties>
</file>